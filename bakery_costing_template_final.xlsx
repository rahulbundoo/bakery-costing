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shboard" sheetId="1" state="visible" r:id="rId3"/>
    <sheet name="Setup" sheetId="2" state="visible" r:id="rId4"/>
    <sheet name="Ingredients" sheetId="3" state="visible" r:id="rId5"/>
    <sheet name="Order_Costing" sheetId="4" state="visible" r:id="rId6"/>
    <sheet name="Order_Log" sheetId="5" state="visible" r:id="rId7"/>
  </sheets>
  <definedNames>
    <definedName function="false" hidden="false" name="IngredientNames" vbProcedure="false">Ingredients!$A$5:$A$204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Cake board, box, ribbon, stickers, etc.</t>
        </r>
      </text>
    </comment>
    <comment ref="B11" authorId="0">
      <text>
        <r>
          <rPr>
            <sz val="10"/>
            <rFont val="Arial"/>
            <family val="2"/>
          </rPr>
          <t xml:space="preserve">Use this for utilities or special one-off costs.</t>
        </r>
      </text>
    </comment>
    <comment ref="D11" authorId="0">
      <text>
        <r>
          <rPr>
            <sz val="10"/>
            <rFont val="Arial"/>
            <family val="2"/>
          </rPr>
          <t xml:space="preserve">Target profit margin for the order. Example: 35% means cost is 65% of selling price.</t>
        </r>
      </text>
    </comment>
  </commentList>
</comments>
</file>

<file path=xl/sharedStrings.xml><?xml version="1.0" encoding="utf-8"?>
<sst xmlns="http://schemas.openxmlformats.org/spreadsheetml/2006/main" count="164" uniqueCount="130">
  <si>
    <t xml:space="preserve">Bakery Costing &amp; Pricing Template</t>
  </si>
  <si>
    <t xml:space="preserve">Professional workbook for ingredient costing, order pricing, delivery and margin control</t>
  </si>
  <si>
    <t xml:space="preserve">How to use</t>
  </si>
  <si>
    <t xml:space="preserve">1. Update ingredient purchase prices and package sizes on the Ingredients sheet.</t>
  </si>
  <si>
    <t xml:space="preserve">2. Adjust labor rate, delivery rate and rounding rules on the Setup sheet.</t>
  </si>
  <si>
    <t xml:space="preserve">3. On Order_Costing, choose ingredients from the dropdown and enter quantities used.</t>
  </si>
  <si>
    <t xml:space="preserve">4. Enter packaging, labor hours, delivery distance and any extra overhead.</t>
  </si>
  <si>
    <t xml:space="preserve">5. Use the suggested selling price and rounded quote to price the cake professionally.</t>
  </si>
  <si>
    <t xml:space="preserve">6. Copy key figures into Order_Log to keep a history of quotes and completed jobs.</t>
  </si>
  <si>
    <t xml:space="preserve">Workbook structure</t>
  </si>
  <si>
    <t xml:space="preserve">Setup</t>
  </si>
  <si>
    <t xml:space="preserve">Business assumptions: labor, delivery, default margin, quote rounding</t>
  </si>
  <si>
    <t xml:space="preserve">Ingredients</t>
  </si>
  <si>
    <t xml:space="preserve">Master list of ingredients with effective cost per base unit</t>
  </si>
  <si>
    <t xml:space="preserve">Order_Costing</t>
  </si>
  <si>
    <t xml:space="preserve">Pricing calculator for a single cake or order quote</t>
  </si>
  <si>
    <t xml:space="preserve">Order_Log</t>
  </si>
  <si>
    <t xml:space="preserve">History tracker for quoted / delivered jobs and profit review</t>
  </si>
  <si>
    <t xml:space="preserve">Key reminder</t>
  </si>
  <si>
    <t xml:space="preserve">Do not price cakes using ingredients alone. Count packaging, delivery, labor, utilities and a proper profit margin. That little monster called underpricing eats bakeries for breakfast.</t>
  </si>
  <si>
    <t xml:space="preserve">Business Assumptions</t>
  </si>
  <si>
    <t xml:space="preserve">Change the blue input cells to match your bakery</t>
  </si>
  <si>
    <t xml:space="preserve">Core Pricing Controls</t>
  </si>
  <si>
    <t xml:space="preserve">Currency / market note</t>
  </si>
  <si>
    <t xml:space="preserve">Update currency formatting manually if needed</t>
  </si>
  <si>
    <t xml:space="preserve">Static note</t>
  </si>
  <si>
    <t xml:space="preserve">Labor rate per hour</t>
  </si>
  <si>
    <t xml:space="preserve">User input</t>
  </si>
  <si>
    <t xml:space="preserve">Delivery rate per km</t>
  </si>
  <si>
    <t xml:space="preserve">Default target margin</t>
  </si>
  <si>
    <t xml:space="preserve">Default overhead add-on</t>
  </si>
  <si>
    <t xml:space="preserve">Optional extra charge per order</t>
  </si>
  <si>
    <t xml:space="preserve">Quote rounding increment</t>
  </si>
  <si>
    <t xml:space="preserve">Rounds quote up to nearest amount</t>
  </si>
  <si>
    <t xml:space="preserve">Tips</t>
  </si>
  <si>
    <t xml:space="preserve">Use a realistic labor rate even if you are the one baking. Your time is not fairy dust.</t>
  </si>
  <si>
    <t xml:space="preserve">Use delivery per km or replace it with a flat fee if that fits your business better.</t>
  </si>
  <si>
    <t xml:space="preserve">Keep your target margin honest. Fancy cakes with intricate decoration usually need more room.</t>
  </si>
  <si>
    <t xml:space="preserve">Ingredients Cost Library</t>
  </si>
  <si>
    <t xml:space="preserve">Update purchase sizes and prices; effective cost per base unit calculates automatically</t>
  </si>
  <si>
    <t xml:space="preserve">Ingredient</t>
  </si>
  <si>
    <t xml:space="preserve">Category</t>
  </si>
  <si>
    <t xml:space="preserve">Supplier</t>
  </si>
  <si>
    <t xml:space="preserve">Purchase Qty</t>
  </si>
  <si>
    <t xml:space="preserve">Base Unit</t>
  </si>
  <si>
    <t xml:space="preserve">Package Cost</t>
  </si>
  <si>
    <t xml:space="preserve">Waste %</t>
  </si>
  <si>
    <t xml:space="preserve">Effective Cost / Unit</t>
  </si>
  <si>
    <t xml:space="preserve">Last Updated</t>
  </si>
  <si>
    <t xml:space="preserve">Notes</t>
  </si>
  <si>
    <t xml:space="preserve">Flour</t>
  </si>
  <si>
    <t xml:space="preserve">Dry Goods</t>
  </si>
  <si>
    <t xml:space="preserve">Local Wholesale</t>
  </si>
  <si>
    <t xml:space="preserve">g</t>
  </si>
  <si>
    <t xml:space="preserve">1 kg bag</t>
  </si>
  <si>
    <t xml:space="preserve">Sugar</t>
  </si>
  <si>
    <t xml:space="preserve">Butter</t>
  </si>
  <si>
    <t xml:space="preserve">Dairy</t>
  </si>
  <si>
    <t xml:space="preserve">Grocer</t>
  </si>
  <si>
    <t xml:space="preserve">250 g block</t>
  </si>
  <si>
    <t xml:space="preserve">Eggs</t>
  </si>
  <si>
    <t xml:space="preserve">Farm Supplier</t>
  </si>
  <si>
    <t xml:space="preserve">pcs</t>
  </si>
  <si>
    <t xml:space="preserve">Pack of 12</t>
  </si>
  <si>
    <t xml:space="preserve">Milk</t>
  </si>
  <si>
    <t xml:space="preserve">ml</t>
  </si>
  <si>
    <t xml:space="preserve">1 liter</t>
  </si>
  <si>
    <t xml:space="preserve">Vanilla Extract</t>
  </si>
  <si>
    <t xml:space="preserve">Flavoring</t>
  </si>
  <si>
    <t xml:space="preserve">Bottle</t>
  </si>
  <si>
    <t xml:space="preserve">Whipping Cream</t>
  </si>
  <si>
    <t xml:space="preserve">Carton</t>
  </si>
  <si>
    <t xml:space="preserve">Cocoa Powder</t>
  </si>
  <si>
    <t xml:space="preserve">Pouch</t>
  </si>
  <si>
    <t xml:space="preserve">Cream Cheese</t>
  </si>
  <si>
    <t xml:space="preserve">Tub</t>
  </si>
  <si>
    <t xml:space="preserve">Fondant</t>
  </si>
  <si>
    <t xml:space="preserve">Decor</t>
  </si>
  <si>
    <t xml:space="preserve">Cake Supply</t>
  </si>
  <si>
    <t xml:space="preserve">1 kg pack</t>
  </si>
  <si>
    <t xml:space="preserve">Order Costing &amp; Quote Builder</t>
  </si>
  <si>
    <t xml:space="preserve">Use dropdowns to build one cake quote at a time</t>
  </si>
  <si>
    <t xml:space="preserve">Order Details</t>
  </si>
  <si>
    <t xml:space="preserve">Order ID</t>
  </si>
  <si>
    <t xml:space="preserve">Q-001</t>
  </si>
  <si>
    <t xml:space="preserve">Customer</t>
  </si>
  <si>
    <t xml:space="preserve">Rahul</t>
  </si>
  <si>
    <t xml:space="preserve">Order Date</t>
  </si>
  <si>
    <t xml:space="preserve">Product / Cake</t>
  </si>
  <si>
    <t xml:space="preserve">Napoliten – Eid</t>
  </si>
  <si>
    <t xml:space="preserve">Quantity</t>
  </si>
  <si>
    <t xml:space="preserve">Delivery Status</t>
  </si>
  <si>
    <t xml:space="preserve">Delivery</t>
  </si>
  <si>
    <t xml:space="preserve">Pricing Inputs</t>
  </si>
  <si>
    <t xml:space="preserve">Packaging Cost</t>
  </si>
  <si>
    <t xml:space="preserve">Labor Hours</t>
  </si>
  <si>
    <t xml:space="preserve">Delivery Distance (km)</t>
  </si>
  <si>
    <t xml:space="preserve">Actual Selling Price</t>
  </si>
  <si>
    <t xml:space="preserve">Extra Overhead</t>
  </si>
  <si>
    <t xml:space="preserve">Target Margin</t>
  </si>
  <si>
    <t xml:space="preserve">Ingredients Used</t>
  </si>
  <si>
    <t xml:space="preserve">Quote Summary</t>
  </si>
  <si>
    <t xml:space="preserve">Line</t>
  </si>
  <si>
    <t xml:space="preserve">Unit</t>
  </si>
  <si>
    <t xml:space="preserve">Qty Used</t>
  </si>
  <si>
    <t xml:space="preserve">Unit Cost</t>
  </si>
  <si>
    <t xml:space="preserve">Line Cost</t>
  </si>
  <si>
    <t xml:space="preserve">Ingredient Subtotal</t>
  </si>
  <si>
    <t xml:space="preserve">Packaging</t>
  </si>
  <si>
    <t xml:space="preserve">Labor Cost</t>
  </si>
  <si>
    <t xml:space="preserve">Delivery Cost</t>
  </si>
  <si>
    <t xml:space="preserve">Total Cost</t>
  </si>
  <si>
    <t xml:space="preserve">Suggested Price</t>
  </si>
  <si>
    <t xml:space="preserve">Rounded Quote</t>
  </si>
  <si>
    <t xml:space="preserve">Profit @ Actual Sell</t>
  </si>
  <si>
    <t xml:space="preserve">Margin @ Actual Sell</t>
  </si>
  <si>
    <t xml:space="preserve">Blue cells = inputs. Black cells = formulas.
Use base units consistently: grams, ml, or pcs.
If the rounded quote feels scary, that is just math doing cardio.</t>
  </si>
  <si>
    <t xml:space="preserve">Order Log</t>
  </si>
  <si>
    <t xml:space="preserve">Record completed quotes and compare estimated cost vs final price</t>
  </si>
  <si>
    <t xml:space="preserve">Date</t>
  </si>
  <si>
    <t xml:space="preserve">Product</t>
  </si>
  <si>
    <t xml:space="preserve">Qty</t>
  </si>
  <si>
    <t xml:space="preserve">Estimated Cost</t>
  </si>
  <si>
    <t xml:space="preserve">Quoted Price</t>
  </si>
  <si>
    <t xml:space="preserve">Final Price</t>
  </si>
  <si>
    <t xml:space="preserve">Profit</t>
  </si>
  <si>
    <t xml:space="preserve">Margin %</t>
  </si>
  <si>
    <t xml:space="preserve">Status</t>
  </si>
  <si>
    <t xml:space="preserve">In Progress</t>
  </si>
  <si>
    <t xml:space="preserve">Copy this row, paste values to next row to archive the order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</si>
</sst>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s &quot;#,##0.00;[RED]&quot;Rs -&quot;#,##0.00"/>
    <numFmt numFmtId="166" formatCode="0.0%"/>
    <numFmt numFmtId="167" formatCode="#,##0;[RED]\(#,##0\);\-"/>
    <numFmt numFmtId="168" formatCode="#,##0.00;[RED]\(#,##0.00\);\-"/>
    <numFmt numFmtId="169" formatCode="0.00%"/>
    <numFmt numFmtId="170" formatCode="mm/dd/yy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ptos"/>
      <family val="0"/>
      <charset val="1"/>
    </font>
    <font>
      <i val="true"/>
      <sz val="11"/>
      <color rgb="FFFFFFFF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1F3A5F"/>
      <name val="Aptos"/>
      <family val="0"/>
      <charset val="1"/>
    </font>
    <font>
      <sz val="10"/>
      <color rgb="FF5B6573"/>
      <name val="Aptos"/>
      <family val="0"/>
      <charset val="1"/>
    </font>
    <font>
      <i val="true"/>
      <sz val="11"/>
      <color rgb="FF1F3A5F"/>
      <name val="Aptos"/>
      <family val="0"/>
      <charset val="1"/>
    </font>
    <font>
      <b val="true"/>
      <sz val="10"/>
      <color rgb="FF5B6573"/>
      <name val="Aptos"/>
      <family val="0"/>
      <charset val="1"/>
    </font>
    <font>
      <sz val="10"/>
      <color rgb="FF0000FF"/>
      <name val="Aptos"/>
      <family val="0"/>
      <charset val="1"/>
    </font>
    <font>
      <sz val="11"/>
      <color theme="1"/>
      <name val="Calibri"/>
      <family val="2"/>
      <charset val="1"/>
    </font>
    <font>
      <b val="true"/>
      <sz val="11"/>
      <color rgb="FF1F3A5F"/>
      <name val="Aptos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355C8A"/>
        <bgColor rgb="FF5B6573"/>
      </patternFill>
    </fill>
    <fill>
      <patternFill patternType="solid">
        <fgColor rgb="FFEAF2FF"/>
        <bgColor rgb="FFF2F4F7"/>
      </patternFill>
    </fill>
    <fill>
      <patternFill patternType="solid">
        <fgColor rgb="FFFFFFFF"/>
        <bgColor rgb="FFF8F5EF"/>
      </patternFill>
    </fill>
    <fill>
      <patternFill patternType="solid">
        <fgColor rgb="FFF8F5EF"/>
        <bgColor rgb="FFF2F4F7"/>
      </patternFill>
    </fill>
    <fill>
      <patternFill patternType="solid">
        <fgColor rgb="FFFFF3D9"/>
        <bgColor rgb="FFFFF7CC"/>
      </patternFill>
    </fill>
    <fill>
      <patternFill patternType="solid">
        <fgColor rgb="FFF2F4F7"/>
        <bgColor rgb="FFF8F5EF"/>
      </patternFill>
    </fill>
    <fill>
      <patternFill patternType="solid">
        <fgColor rgb="FFFFF7CC"/>
        <bgColor rgb="FFFFF3D9"/>
      </patternFill>
    </fill>
    <fill>
      <patternFill patternType="solid">
        <fgColor rgb="FFD4A857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DECEC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AF2FF"/>
      <rgbColor rgb="FF660066"/>
      <rgbColor rgb="FFFF8080"/>
      <rgbColor rgb="FF0066CC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F8F5EF"/>
      <rgbColor rgb="FFFFF3D9"/>
      <rgbColor rgb="FF99CCFF"/>
      <rgbColor rgb="FFFF99CC"/>
      <rgbColor rgb="FFCC99FF"/>
      <rgbColor rgb="FFFDECEC"/>
      <rgbColor rgb="FF3366FF"/>
      <rgbColor rgb="FF33CCCC"/>
      <rgbColor rgb="FF99CC00"/>
      <rgbColor rgb="FFFFCC00"/>
      <rgbColor rgb="FFD4A857"/>
      <rgbColor rgb="FFFF6600"/>
      <rgbColor rgb="FF5B6573"/>
      <rgbColor rgb="FF969696"/>
      <rgbColor rgb="FF1F3A5F"/>
      <rgbColor rgb="FF339966"/>
      <rgbColor rgb="FF003300"/>
      <rgbColor rgb="FF333300"/>
      <rgbColor rgb="FF993300"/>
      <rgbColor rgb="FF993366"/>
      <rgbColor rgb="FF35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gredientsTable" displayName="IngredientsTable" ref="A4:J204" headerRowCount="1" totalsRowCount="0" totalsRowShown="0">
  <autoFilter ref="A4:J204"/>
  <tableColumns count="10">
    <tableColumn id="1" name="Ingredient"/>
    <tableColumn id="2" name="Category"/>
    <tableColumn id="3" name="Supplier"/>
    <tableColumn id="4" name="Purchase Qty"/>
    <tableColumn id="5" name="Base Unit"/>
    <tableColumn id="6" name="Package Cost"/>
    <tableColumn id="7" name="Waste %"/>
    <tableColumn id="8" name="Effective Cost / Unit"/>
    <tableColumn id="9" name="Last Updated"/>
    <tableColumn id="10" name="Notes"/>
  </tableColumns>
</table>
</file>

<file path=xl/tables/table2.xml><?xml version="1.0" encoding="utf-8"?>
<table xmlns="http://schemas.openxmlformats.org/spreadsheetml/2006/main" id="2" name="OrderLogTable" displayName="OrderLogTable" ref="A4:L154" headerRowCount="1" totalsRowCount="0" totalsRowShown="0">
  <autoFilter ref="A4:L154"/>
  <tableColumns count="12">
    <tableColumn id="1" name="Date"/>
    <tableColumn id="2" name="Order ID"/>
    <tableColumn id="3" name="Customer"/>
    <tableColumn id="4" name="Product"/>
    <tableColumn id="5" name="Qty"/>
    <tableColumn id="6" name="Estimated Cost"/>
    <tableColumn id="7" name="Quoted Price"/>
    <tableColumn id="8" name="Final Price"/>
    <tableColumn id="9" name="Profit"/>
    <tableColumn id="10" name="Margin %"/>
    <tableColumn id="11" name="Status"/>
    <tableColumn id="12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8" min="3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A6" s="6" t="s">
        <v>4</v>
      </c>
      <c r="B6" s="6"/>
      <c r="C6" s="6"/>
      <c r="D6" s="6"/>
      <c r="E6" s="6"/>
      <c r="F6" s="6"/>
      <c r="G6" s="6"/>
      <c r="H6" s="6"/>
    </row>
    <row r="7" customFormat="false" ht="15" hidden="false" customHeight="true" outlineLevel="0" collapsed="false">
      <c r="A7" s="5" t="s">
        <v>5</v>
      </c>
      <c r="B7" s="5"/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6" t="s">
        <v>6</v>
      </c>
      <c r="B8" s="6"/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5" t="s">
        <v>7</v>
      </c>
      <c r="B9" s="5"/>
      <c r="C9" s="5"/>
      <c r="D9" s="5"/>
      <c r="E9" s="5"/>
      <c r="F9" s="5"/>
      <c r="G9" s="5"/>
      <c r="H9" s="5"/>
    </row>
    <row r="10" customFormat="false" ht="15" hidden="false" customHeight="true" outlineLevel="0" collapsed="false">
      <c r="A10" s="6" t="s">
        <v>8</v>
      </c>
      <c r="B10" s="6"/>
      <c r="C10" s="6"/>
      <c r="D10" s="6"/>
      <c r="E10" s="6"/>
      <c r="F10" s="6"/>
      <c r="G10" s="6"/>
      <c r="H10" s="6"/>
    </row>
    <row r="13" customFormat="false" ht="15" hidden="false" customHeight="true" outlineLevel="0" collapsed="false">
      <c r="A13" s="4" t="s">
        <v>9</v>
      </c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7" t="s">
        <v>10</v>
      </c>
      <c r="B14" s="8" t="s">
        <v>11</v>
      </c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7" t="s">
        <v>12</v>
      </c>
      <c r="B15" s="8" t="s">
        <v>13</v>
      </c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7" t="s">
        <v>14</v>
      </c>
      <c r="B16" s="8" t="s">
        <v>15</v>
      </c>
      <c r="C16" s="8"/>
      <c r="D16" s="8"/>
      <c r="E16" s="8"/>
      <c r="F16" s="8"/>
      <c r="G16" s="8"/>
      <c r="H16" s="8"/>
    </row>
    <row r="17" customFormat="false" ht="15" hidden="false" customHeight="true" outlineLevel="0" collapsed="false">
      <c r="A17" s="7" t="s">
        <v>16</v>
      </c>
      <c r="B17" s="8" t="s">
        <v>17</v>
      </c>
      <c r="C17" s="8"/>
      <c r="D17" s="8"/>
      <c r="E17" s="8"/>
      <c r="F17" s="8"/>
      <c r="G17" s="8"/>
      <c r="H17" s="8"/>
    </row>
    <row r="20" customFormat="false" ht="15" hidden="false" customHeight="true" outlineLevel="0" collapsed="false">
      <c r="A20" s="4" t="s">
        <v>18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9" t="s">
        <v>19</v>
      </c>
      <c r="B21" s="9"/>
      <c r="C21" s="9"/>
      <c r="D21" s="9"/>
      <c r="E21" s="9"/>
      <c r="F21" s="9"/>
      <c r="G21" s="9"/>
      <c r="H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9"/>
      <c r="H22" s="9"/>
    </row>
  </sheetData>
  <mergeCells count="16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3:H13"/>
    <mergeCell ref="B14:H14"/>
    <mergeCell ref="B15:H15"/>
    <mergeCell ref="B16:H16"/>
    <mergeCell ref="B17:H17"/>
    <mergeCell ref="A20:H20"/>
    <mergeCell ref="A21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4.37"/>
    <col collapsed="false" customWidth="true" hidden="false" outlineLevel="0" max="2" min="2" style="1" width="46.42"/>
    <col collapsed="false" customWidth="true" hidden="false" outlineLevel="0" max="3" min="3" style="1" width="36"/>
    <col collapsed="false" customWidth="true" hidden="false" outlineLevel="0" max="8" min="4" style="1" width="14"/>
  </cols>
  <sheetData>
    <row r="1" customFormat="false" ht="27.75" hidden="false" customHeight="true" outlineLevel="0" collapsed="false">
      <c r="A1" s="2" t="s">
        <v>20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21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10" t="s">
        <v>23</v>
      </c>
      <c r="B5" s="11" t="s">
        <v>24</v>
      </c>
      <c r="C5" s="12" t="s">
        <v>25</v>
      </c>
    </row>
    <row r="6" customFormat="false" ht="15" hidden="false" customHeight="true" outlineLevel="0" collapsed="false">
      <c r="A6" s="10" t="s">
        <v>26</v>
      </c>
      <c r="B6" s="13" t="n">
        <v>100</v>
      </c>
      <c r="C6" s="12" t="s">
        <v>27</v>
      </c>
    </row>
    <row r="7" customFormat="false" ht="15" hidden="false" customHeight="true" outlineLevel="0" collapsed="false">
      <c r="A7" s="10" t="s">
        <v>28</v>
      </c>
      <c r="B7" s="13" t="n">
        <v>3</v>
      </c>
      <c r="C7" s="12" t="s">
        <v>27</v>
      </c>
    </row>
    <row r="8" customFormat="false" ht="15" hidden="false" customHeight="true" outlineLevel="0" collapsed="false">
      <c r="A8" s="10" t="s">
        <v>29</v>
      </c>
      <c r="B8" s="14" t="n">
        <v>0.35</v>
      </c>
      <c r="C8" s="12" t="s">
        <v>27</v>
      </c>
    </row>
    <row r="9" customFormat="false" ht="15" hidden="false" customHeight="true" outlineLevel="0" collapsed="false">
      <c r="A9" s="10" t="s">
        <v>30</v>
      </c>
      <c r="B9" s="13" t="n">
        <v>0</v>
      </c>
      <c r="C9" s="12" t="s">
        <v>31</v>
      </c>
    </row>
    <row r="10" customFormat="false" ht="15" hidden="false" customHeight="true" outlineLevel="0" collapsed="false">
      <c r="A10" s="10" t="s">
        <v>32</v>
      </c>
      <c r="B10" s="13" t="n">
        <v>50</v>
      </c>
      <c r="C10" s="12" t="s">
        <v>33</v>
      </c>
    </row>
    <row r="13" customFormat="false" ht="15" hidden="false" customHeight="true" outlineLevel="0" collapsed="false">
      <c r="A13" s="4" t="s">
        <v>34</v>
      </c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15" t="s">
        <v>35</v>
      </c>
      <c r="B14" s="15"/>
      <c r="C14" s="15"/>
      <c r="D14" s="15"/>
      <c r="E14" s="15"/>
      <c r="F14" s="15"/>
      <c r="G14" s="15"/>
      <c r="H14" s="15"/>
    </row>
    <row r="15" customFormat="false" ht="15" hidden="false" customHeight="true" outlineLevel="0" collapsed="false">
      <c r="A15" s="15" t="s">
        <v>36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15" t="s">
        <v>37</v>
      </c>
      <c r="B16" s="15"/>
      <c r="C16" s="15"/>
      <c r="D16" s="15"/>
      <c r="E16" s="15"/>
      <c r="F16" s="15"/>
      <c r="G16" s="15"/>
      <c r="H16" s="15"/>
    </row>
  </sheetData>
  <mergeCells count="7">
    <mergeCell ref="A1:H1"/>
    <mergeCell ref="A2:H2"/>
    <mergeCell ref="A4:H4"/>
    <mergeCell ref="A13:H13"/>
    <mergeCell ref="A14:H14"/>
    <mergeCell ref="A15:H15"/>
    <mergeCell ref="A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26.88"/>
    <col collapsed="false" customWidth="true" hidden="false" outlineLevel="0" max="5" min="5" style="1" width="13.66"/>
    <col collapsed="false" customWidth="true" hidden="false" outlineLevel="0" max="6" min="6" style="1" width="20.38"/>
    <col collapsed="false" customWidth="true" hidden="false" outlineLevel="0" max="7" min="7" style="1" width="10"/>
    <col collapsed="false" customWidth="true" hidden="false" outlineLevel="0" max="8" min="8" style="1" width="24.06"/>
    <col collapsed="false" customWidth="true" hidden="false" outlineLevel="0" max="9" min="9" style="1" width="19.19"/>
    <col collapsed="false" customWidth="true" hidden="false" outlineLevel="0" max="10" min="10" style="1" width="18"/>
  </cols>
  <sheetData>
    <row r="1" customFormat="false" ht="27.75" hidden="false" customHeight="true" outlineLevel="0" collapsed="false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39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16" t="s">
        <v>40</v>
      </c>
      <c r="B4" s="16" t="s">
        <v>41</v>
      </c>
      <c r="C4" s="16" t="s">
        <v>42</v>
      </c>
      <c r="D4" s="16" t="s">
        <v>43</v>
      </c>
      <c r="E4" s="16" t="s">
        <v>44</v>
      </c>
      <c r="F4" s="16" t="s">
        <v>45</v>
      </c>
      <c r="G4" s="16" t="s">
        <v>46</v>
      </c>
      <c r="H4" s="16" t="s">
        <v>47</v>
      </c>
      <c r="I4" s="16" t="s">
        <v>48</v>
      </c>
      <c r="J4" s="16" t="s">
        <v>49</v>
      </c>
    </row>
    <row r="5" customFormat="false" ht="15" hidden="false" customHeight="true" outlineLevel="0" collapsed="false">
      <c r="A5" s="17" t="s">
        <v>50</v>
      </c>
      <c r="B5" s="17" t="s">
        <v>51</v>
      </c>
      <c r="C5" s="17" t="s">
        <v>52</v>
      </c>
      <c r="D5" s="18" t="n">
        <v>1000</v>
      </c>
      <c r="E5" s="17" t="s">
        <v>53</v>
      </c>
      <c r="F5" s="13" t="n">
        <v>80</v>
      </c>
      <c r="G5" s="14" t="n">
        <v>0</v>
      </c>
      <c r="H5" s="19" t="n">
        <f aca="false">IFERROR((F5/D5)*(1+G5),"")</f>
        <v>0.08</v>
      </c>
      <c r="I5" s="17"/>
      <c r="J5" s="17" t="s">
        <v>54</v>
      </c>
    </row>
    <row r="6" customFormat="false" ht="15" hidden="false" customHeight="true" outlineLevel="0" collapsed="false">
      <c r="A6" s="17" t="s">
        <v>55</v>
      </c>
      <c r="B6" s="17" t="s">
        <v>51</v>
      </c>
      <c r="C6" s="17" t="s">
        <v>52</v>
      </c>
      <c r="D6" s="18" t="n">
        <v>1000</v>
      </c>
      <c r="E6" s="17" t="s">
        <v>53</v>
      </c>
      <c r="F6" s="13" t="n">
        <v>50</v>
      </c>
      <c r="G6" s="14" t="n">
        <v>0</v>
      </c>
      <c r="H6" s="19" t="n">
        <f aca="false">IFERROR((F6/D6)*(1+G6),"")</f>
        <v>0.05</v>
      </c>
      <c r="I6" s="17"/>
      <c r="J6" s="17" t="s">
        <v>54</v>
      </c>
    </row>
    <row r="7" customFormat="false" ht="15" hidden="false" customHeight="true" outlineLevel="0" collapsed="false">
      <c r="A7" s="17" t="s">
        <v>56</v>
      </c>
      <c r="B7" s="17" t="s">
        <v>57</v>
      </c>
      <c r="C7" s="17" t="s">
        <v>58</v>
      </c>
      <c r="D7" s="18" t="n">
        <v>250</v>
      </c>
      <c r="E7" s="17" t="s">
        <v>53</v>
      </c>
      <c r="F7" s="13" t="n">
        <v>80</v>
      </c>
      <c r="G7" s="14" t="n">
        <v>0</v>
      </c>
      <c r="H7" s="19" t="n">
        <f aca="false">IFERROR((F7/D7)*(1+G7),"")</f>
        <v>0.32</v>
      </c>
      <c r="I7" s="17"/>
      <c r="J7" s="17" t="s">
        <v>59</v>
      </c>
    </row>
    <row r="8" customFormat="false" ht="15" hidden="false" customHeight="true" outlineLevel="0" collapsed="false">
      <c r="A8" s="17" t="s">
        <v>60</v>
      </c>
      <c r="B8" s="17" t="s">
        <v>57</v>
      </c>
      <c r="C8" s="17" t="s">
        <v>61</v>
      </c>
      <c r="D8" s="18" t="n">
        <v>12</v>
      </c>
      <c r="E8" s="17" t="s">
        <v>62</v>
      </c>
      <c r="F8" s="13" t="n">
        <v>115</v>
      </c>
      <c r="G8" s="14" t="n">
        <v>0</v>
      </c>
      <c r="H8" s="19" t="n">
        <f aca="false">IFERROR((F8/D8)*(1+G8),"")</f>
        <v>9.58333333333333</v>
      </c>
      <c r="I8" s="17"/>
      <c r="J8" s="17" t="s">
        <v>63</v>
      </c>
    </row>
    <row r="9" customFormat="false" ht="15" hidden="false" customHeight="true" outlineLevel="0" collapsed="false">
      <c r="A9" s="17" t="s">
        <v>64</v>
      </c>
      <c r="B9" s="17" t="s">
        <v>57</v>
      </c>
      <c r="C9" s="17" t="s">
        <v>58</v>
      </c>
      <c r="D9" s="18" t="n">
        <v>1000</v>
      </c>
      <c r="E9" s="17" t="s">
        <v>65</v>
      </c>
      <c r="F9" s="13" t="n">
        <v>245</v>
      </c>
      <c r="G9" s="14" t="n">
        <v>0</v>
      </c>
      <c r="H9" s="19" t="n">
        <f aca="false">IFERROR((F9/D9)*(1+G9),"")</f>
        <v>0.245</v>
      </c>
      <c r="I9" s="17"/>
      <c r="J9" s="17" t="s">
        <v>66</v>
      </c>
    </row>
    <row r="10" customFormat="false" ht="15" hidden="false" customHeight="true" outlineLevel="0" collapsed="false">
      <c r="A10" s="17" t="s">
        <v>67</v>
      </c>
      <c r="B10" s="17" t="s">
        <v>68</v>
      </c>
      <c r="C10" s="17" t="s">
        <v>58</v>
      </c>
      <c r="D10" s="18" t="n">
        <v>100</v>
      </c>
      <c r="E10" s="17" t="s">
        <v>65</v>
      </c>
      <c r="F10" s="13" t="n">
        <v>50</v>
      </c>
      <c r="G10" s="14" t="n">
        <v>0</v>
      </c>
      <c r="H10" s="19" t="n">
        <f aca="false">IFERROR((F10/D10)*(1+G10),"")</f>
        <v>0.5</v>
      </c>
      <c r="I10" s="17"/>
      <c r="J10" s="17" t="s">
        <v>69</v>
      </c>
    </row>
    <row r="11" customFormat="false" ht="15" hidden="false" customHeight="true" outlineLevel="0" collapsed="false">
      <c r="A11" s="17" t="s">
        <v>70</v>
      </c>
      <c r="B11" s="17" t="s">
        <v>57</v>
      </c>
      <c r="C11" s="17" t="s">
        <v>58</v>
      </c>
      <c r="D11" s="18" t="n">
        <v>500</v>
      </c>
      <c r="E11" s="17" t="s">
        <v>65</v>
      </c>
      <c r="F11" s="13" t="n">
        <v>145</v>
      </c>
      <c r="G11" s="14" t="n">
        <v>0</v>
      </c>
      <c r="H11" s="19" t="n">
        <f aca="false">IFERROR((F11/D11)*(1+G11),"")</f>
        <v>0.29</v>
      </c>
      <c r="I11" s="17"/>
      <c r="J11" s="17" t="s">
        <v>71</v>
      </c>
    </row>
    <row r="12" customFormat="false" ht="15" hidden="false" customHeight="true" outlineLevel="0" collapsed="false">
      <c r="A12" s="17" t="s">
        <v>72</v>
      </c>
      <c r="B12" s="17" t="s">
        <v>51</v>
      </c>
      <c r="C12" s="17" t="s">
        <v>58</v>
      </c>
      <c r="D12" s="18" t="n">
        <v>250</v>
      </c>
      <c r="E12" s="17" t="s">
        <v>53</v>
      </c>
      <c r="F12" s="13" t="n">
        <v>60</v>
      </c>
      <c r="G12" s="14" t="n">
        <v>0</v>
      </c>
      <c r="H12" s="19" t="n">
        <f aca="false">IFERROR((F12/D12)*(1+G12),"")</f>
        <v>0.24</v>
      </c>
      <c r="I12" s="17"/>
      <c r="J12" s="17" t="s">
        <v>73</v>
      </c>
    </row>
    <row r="13" customFormat="false" ht="15" hidden="false" customHeight="true" outlineLevel="0" collapsed="false">
      <c r="A13" s="17" t="s">
        <v>74</v>
      </c>
      <c r="B13" s="17" t="s">
        <v>57</v>
      </c>
      <c r="C13" s="17" t="s">
        <v>58</v>
      </c>
      <c r="D13" s="18" t="n">
        <v>250</v>
      </c>
      <c r="E13" s="17" t="s">
        <v>53</v>
      </c>
      <c r="F13" s="13" t="n">
        <v>150</v>
      </c>
      <c r="G13" s="14" t="n">
        <v>0</v>
      </c>
      <c r="H13" s="19" t="n">
        <f aca="false">IFERROR((F13/D13)*(1+G13),"")</f>
        <v>0.6</v>
      </c>
      <c r="I13" s="17"/>
      <c r="J13" s="17" t="s">
        <v>75</v>
      </c>
    </row>
    <row r="14" customFormat="false" ht="15" hidden="false" customHeight="true" outlineLevel="0" collapsed="false">
      <c r="A14" s="17" t="s">
        <v>76</v>
      </c>
      <c r="B14" s="17" t="s">
        <v>77</v>
      </c>
      <c r="C14" s="17" t="s">
        <v>78</v>
      </c>
      <c r="D14" s="18" t="n">
        <v>1000</v>
      </c>
      <c r="E14" s="17" t="s">
        <v>53</v>
      </c>
      <c r="F14" s="13" t="n">
        <v>75</v>
      </c>
      <c r="G14" s="14" t="n">
        <v>0</v>
      </c>
      <c r="H14" s="19" t="n">
        <f aca="false">IFERROR((F14/D14)*(1+G14),"")</f>
        <v>0.075</v>
      </c>
      <c r="I14" s="17"/>
      <c r="J14" s="17" t="s">
        <v>79</v>
      </c>
    </row>
    <row r="15" customFormat="false" ht="15" hidden="false" customHeight="true" outlineLevel="0" collapsed="false">
      <c r="A15" s="17"/>
      <c r="B15" s="17"/>
      <c r="C15" s="17"/>
      <c r="D15" s="18"/>
      <c r="E15" s="17"/>
      <c r="F15" s="13"/>
      <c r="G15" s="14"/>
      <c r="H15" s="19" t="str">
        <f aca="false">IFERROR((F15/D15)*(1+G15),"")</f>
        <v/>
      </c>
      <c r="I15" s="17"/>
      <c r="J15" s="17"/>
    </row>
    <row r="16" customFormat="false" ht="15" hidden="false" customHeight="true" outlineLevel="0" collapsed="false">
      <c r="A16" s="17"/>
      <c r="B16" s="17"/>
      <c r="C16" s="17"/>
      <c r="D16" s="18"/>
      <c r="E16" s="17"/>
      <c r="F16" s="13"/>
      <c r="G16" s="14"/>
      <c r="H16" s="19" t="str">
        <f aca="false">IFERROR((F16/D16)*(1+G16),"")</f>
        <v/>
      </c>
      <c r="I16" s="17"/>
      <c r="J16" s="17"/>
    </row>
    <row r="17" customFormat="false" ht="15" hidden="false" customHeight="true" outlineLevel="0" collapsed="false">
      <c r="A17" s="17"/>
      <c r="B17" s="17"/>
      <c r="C17" s="17"/>
      <c r="D17" s="18"/>
      <c r="E17" s="17"/>
      <c r="F17" s="13"/>
      <c r="G17" s="14"/>
      <c r="H17" s="19" t="str">
        <f aca="false">IFERROR((F17/D17)*(1+G17),"")</f>
        <v/>
      </c>
      <c r="I17" s="17"/>
      <c r="J17" s="17"/>
    </row>
    <row r="18" customFormat="false" ht="15" hidden="false" customHeight="true" outlineLevel="0" collapsed="false">
      <c r="A18" s="17"/>
      <c r="B18" s="17"/>
      <c r="C18" s="17"/>
      <c r="D18" s="18"/>
      <c r="E18" s="17"/>
      <c r="F18" s="13"/>
      <c r="G18" s="14"/>
      <c r="H18" s="19" t="str">
        <f aca="false">IFERROR((F18/D18)*(1+G18),"")</f>
        <v/>
      </c>
      <c r="I18" s="17"/>
      <c r="J18" s="17"/>
    </row>
    <row r="19" customFormat="false" ht="15" hidden="false" customHeight="true" outlineLevel="0" collapsed="false">
      <c r="A19" s="17"/>
      <c r="B19" s="17"/>
      <c r="C19" s="17"/>
      <c r="D19" s="18"/>
      <c r="E19" s="17"/>
      <c r="F19" s="13"/>
      <c r="G19" s="14"/>
      <c r="H19" s="19" t="str">
        <f aca="false">IFERROR((F19/D19)*(1+G19),"")</f>
        <v/>
      </c>
      <c r="I19" s="17"/>
      <c r="J19" s="17"/>
    </row>
    <row r="20" customFormat="false" ht="15" hidden="false" customHeight="true" outlineLevel="0" collapsed="false">
      <c r="A20" s="17"/>
      <c r="B20" s="17"/>
      <c r="C20" s="17"/>
      <c r="D20" s="18"/>
      <c r="E20" s="17"/>
      <c r="F20" s="13"/>
      <c r="G20" s="14"/>
      <c r="H20" s="19" t="str">
        <f aca="false">IFERROR((F20/D20)*(1+G20),"")</f>
        <v/>
      </c>
      <c r="I20" s="17"/>
      <c r="J20" s="17"/>
    </row>
    <row r="21" customFormat="false" ht="15" hidden="false" customHeight="true" outlineLevel="0" collapsed="false">
      <c r="A21" s="17"/>
      <c r="B21" s="17"/>
      <c r="C21" s="17"/>
      <c r="D21" s="18"/>
      <c r="E21" s="17"/>
      <c r="F21" s="13"/>
      <c r="G21" s="14"/>
      <c r="H21" s="19" t="str">
        <f aca="false">IFERROR((F21/D21)*(1+G21),"")</f>
        <v/>
      </c>
      <c r="I21" s="17"/>
      <c r="J21" s="17"/>
    </row>
    <row r="22" customFormat="false" ht="15" hidden="false" customHeight="true" outlineLevel="0" collapsed="false">
      <c r="A22" s="17"/>
      <c r="B22" s="17"/>
      <c r="C22" s="17"/>
      <c r="D22" s="18"/>
      <c r="E22" s="17"/>
      <c r="F22" s="13"/>
      <c r="G22" s="14"/>
      <c r="H22" s="19" t="str">
        <f aca="false">IFERROR((F22/D22)*(1+G22),"")</f>
        <v/>
      </c>
      <c r="I22" s="17"/>
      <c r="J22" s="17"/>
    </row>
    <row r="23" customFormat="false" ht="15" hidden="false" customHeight="true" outlineLevel="0" collapsed="false">
      <c r="A23" s="17"/>
      <c r="B23" s="17"/>
      <c r="C23" s="17"/>
      <c r="D23" s="18"/>
      <c r="E23" s="17"/>
      <c r="F23" s="13"/>
      <c r="G23" s="14"/>
      <c r="H23" s="19" t="str">
        <f aca="false">IFERROR((F23/D23)*(1+G23),"")</f>
        <v/>
      </c>
      <c r="I23" s="17"/>
      <c r="J23" s="17"/>
    </row>
    <row r="24" customFormat="false" ht="15" hidden="false" customHeight="true" outlineLevel="0" collapsed="false">
      <c r="A24" s="17"/>
      <c r="B24" s="17"/>
      <c r="C24" s="17"/>
      <c r="D24" s="18"/>
      <c r="E24" s="17"/>
      <c r="F24" s="13"/>
      <c r="G24" s="14"/>
      <c r="H24" s="19" t="str">
        <f aca="false">IFERROR((F24/D24)*(1+G24),"")</f>
        <v/>
      </c>
      <c r="I24" s="17"/>
      <c r="J24" s="17"/>
    </row>
    <row r="25" customFormat="false" ht="15" hidden="false" customHeight="true" outlineLevel="0" collapsed="false">
      <c r="A25" s="17"/>
      <c r="B25" s="17"/>
      <c r="C25" s="17"/>
      <c r="D25" s="18"/>
      <c r="E25" s="17"/>
      <c r="F25" s="13"/>
      <c r="G25" s="14"/>
      <c r="H25" s="19" t="str">
        <f aca="false">IFERROR((F25/D25)*(1+G25),"")</f>
        <v/>
      </c>
      <c r="I25" s="17"/>
      <c r="J25" s="17"/>
    </row>
    <row r="26" customFormat="false" ht="15" hidden="false" customHeight="true" outlineLevel="0" collapsed="false">
      <c r="A26" s="17"/>
      <c r="B26" s="17"/>
      <c r="C26" s="17"/>
      <c r="D26" s="18"/>
      <c r="E26" s="17"/>
      <c r="F26" s="13"/>
      <c r="G26" s="14"/>
      <c r="H26" s="19" t="str">
        <f aca="false">IFERROR((F26/D26)*(1+G26),"")</f>
        <v/>
      </c>
      <c r="I26" s="17"/>
      <c r="J26" s="17"/>
    </row>
    <row r="27" customFormat="false" ht="15" hidden="false" customHeight="true" outlineLevel="0" collapsed="false">
      <c r="A27" s="17"/>
      <c r="B27" s="17"/>
      <c r="C27" s="17"/>
      <c r="D27" s="18"/>
      <c r="E27" s="17"/>
      <c r="F27" s="13"/>
      <c r="G27" s="14"/>
      <c r="H27" s="19" t="str">
        <f aca="false">IFERROR((F27/D27)*(1+G27),"")</f>
        <v/>
      </c>
      <c r="I27" s="17"/>
      <c r="J27" s="17"/>
    </row>
    <row r="28" customFormat="false" ht="15" hidden="false" customHeight="true" outlineLevel="0" collapsed="false">
      <c r="A28" s="17"/>
      <c r="B28" s="17"/>
      <c r="C28" s="17"/>
      <c r="D28" s="18"/>
      <c r="E28" s="17"/>
      <c r="F28" s="13"/>
      <c r="G28" s="14"/>
      <c r="H28" s="19" t="str">
        <f aca="false">IFERROR((F28/D28)*(1+G28),"")</f>
        <v/>
      </c>
      <c r="I28" s="17"/>
      <c r="J28" s="17"/>
    </row>
    <row r="29" customFormat="false" ht="15" hidden="false" customHeight="true" outlineLevel="0" collapsed="false">
      <c r="A29" s="17"/>
      <c r="B29" s="17"/>
      <c r="C29" s="17"/>
      <c r="D29" s="18"/>
      <c r="E29" s="17"/>
      <c r="F29" s="13"/>
      <c r="G29" s="14"/>
      <c r="H29" s="19" t="str">
        <f aca="false">IFERROR((F29/D29)*(1+G29),"")</f>
        <v/>
      </c>
      <c r="I29" s="17"/>
      <c r="J29" s="17"/>
    </row>
    <row r="30" customFormat="false" ht="15" hidden="false" customHeight="true" outlineLevel="0" collapsed="false">
      <c r="A30" s="17"/>
      <c r="B30" s="17"/>
      <c r="C30" s="17"/>
      <c r="D30" s="18"/>
      <c r="E30" s="17"/>
      <c r="F30" s="13"/>
      <c r="G30" s="14"/>
      <c r="H30" s="19" t="str">
        <f aca="false">IFERROR((F30/D30)*(1+G30),"")</f>
        <v/>
      </c>
      <c r="I30" s="17"/>
      <c r="J30" s="17"/>
    </row>
    <row r="31" customFormat="false" ht="15" hidden="false" customHeight="true" outlineLevel="0" collapsed="false">
      <c r="A31" s="17"/>
      <c r="B31" s="17"/>
      <c r="C31" s="17"/>
      <c r="D31" s="18"/>
      <c r="E31" s="17"/>
      <c r="F31" s="13"/>
      <c r="G31" s="14"/>
      <c r="H31" s="19" t="str">
        <f aca="false">IFERROR((F31/D31)*(1+G31),"")</f>
        <v/>
      </c>
      <c r="I31" s="17"/>
      <c r="J31" s="17"/>
    </row>
    <row r="32" customFormat="false" ht="15" hidden="false" customHeight="true" outlineLevel="0" collapsed="false">
      <c r="A32" s="17"/>
      <c r="B32" s="17"/>
      <c r="C32" s="17"/>
      <c r="D32" s="18"/>
      <c r="E32" s="17"/>
      <c r="F32" s="13"/>
      <c r="G32" s="14"/>
      <c r="H32" s="19" t="str">
        <f aca="false">IFERROR((F32/D32)*(1+G32),"")</f>
        <v/>
      </c>
      <c r="I32" s="17"/>
      <c r="J32" s="17"/>
    </row>
    <row r="33" customFormat="false" ht="15" hidden="false" customHeight="true" outlineLevel="0" collapsed="false">
      <c r="A33" s="17"/>
      <c r="B33" s="17"/>
      <c r="C33" s="17"/>
      <c r="D33" s="18"/>
      <c r="E33" s="17"/>
      <c r="F33" s="13"/>
      <c r="G33" s="14"/>
      <c r="H33" s="19" t="str">
        <f aca="false">IFERROR((F33/D33)*(1+G33),"")</f>
        <v/>
      </c>
      <c r="I33" s="17"/>
      <c r="J33" s="17"/>
    </row>
    <row r="34" customFormat="false" ht="15" hidden="false" customHeight="true" outlineLevel="0" collapsed="false">
      <c r="A34" s="17"/>
      <c r="B34" s="17"/>
      <c r="C34" s="17"/>
      <c r="D34" s="18"/>
      <c r="E34" s="17"/>
      <c r="F34" s="13"/>
      <c r="G34" s="14"/>
      <c r="H34" s="19" t="str">
        <f aca="false">IFERROR((F34/D34)*(1+G34),"")</f>
        <v/>
      </c>
      <c r="I34" s="17"/>
      <c r="J34" s="17"/>
    </row>
    <row r="35" customFormat="false" ht="15" hidden="false" customHeight="true" outlineLevel="0" collapsed="false">
      <c r="A35" s="17"/>
      <c r="B35" s="17"/>
      <c r="C35" s="17"/>
      <c r="D35" s="18"/>
      <c r="E35" s="17"/>
      <c r="F35" s="13"/>
      <c r="G35" s="14"/>
      <c r="H35" s="19" t="str">
        <f aca="false">IFERROR((F35/D35)*(1+G35),"")</f>
        <v/>
      </c>
      <c r="I35" s="17"/>
      <c r="J35" s="17"/>
    </row>
    <row r="36" customFormat="false" ht="15" hidden="false" customHeight="true" outlineLevel="0" collapsed="false">
      <c r="A36" s="17"/>
      <c r="B36" s="17"/>
      <c r="C36" s="17"/>
      <c r="D36" s="18"/>
      <c r="E36" s="17"/>
      <c r="F36" s="13"/>
      <c r="G36" s="14"/>
      <c r="H36" s="19" t="str">
        <f aca="false">IFERROR((F36/D36)*(1+G36),"")</f>
        <v/>
      </c>
      <c r="I36" s="17"/>
      <c r="J36" s="17"/>
    </row>
    <row r="37" customFormat="false" ht="15" hidden="false" customHeight="true" outlineLevel="0" collapsed="false">
      <c r="A37" s="17"/>
      <c r="B37" s="17"/>
      <c r="C37" s="17"/>
      <c r="D37" s="18"/>
      <c r="E37" s="17"/>
      <c r="F37" s="13"/>
      <c r="G37" s="14"/>
      <c r="H37" s="19" t="str">
        <f aca="false">IFERROR((F37/D37)*(1+G37),"")</f>
        <v/>
      </c>
      <c r="I37" s="17"/>
      <c r="J37" s="17"/>
    </row>
    <row r="38" customFormat="false" ht="15" hidden="false" customHeight="true" outlineLevel="0" collapsed="false">
      <c r="A38" s="17"/>
      <c r="B38" s="17"/>
      <c r="C38" s="17"/>
      <c r="D38" s="18"/>
      <c r="E38" s="17"/>
      <c r="F38" s="13"/>
      <c r="G38" s="14"/>
      <c r="H38" s="19" t="str">
        <f aca="false">IFERROR((F38/D38)*(1+G38),"")</f>
        <v/>
      </c>
      <c r="I38" s="17"/>
      <c r="J38" s="17"/>
    </row>
    <row r="39" customFormat="false" ht="15" hidden="false" customHeight="true" outlineLevel="0" collapsed="false">
      <c r="A39" s="17"/>
      <c r="B39" s="17"/>
      <c r="C39" s="17"/>
      <c r="D39" s="18"/>
      <c r="E39" s="17"/>
      <c r="F39" s="13"/>
      <c r="G39" s="14"/>
      <c r="H39" s="19" t="str">
        <f aca="false">IFERROR((F39/D39)*(1+G39),"")</f>
        <v/>
      </c>
      <c r="I39" s="17"/>
      <c r="J39" s="17"/>
    </row>
    <row r="40" customFormat="false" ht="15" hidden="false" customHeight="true" outlineLevel="0" collapsed="false">
      <c r="A40" s="17"/>
      <c r="B40" s="17"/>
      <c r="C40" s="17"/>
      <c r="D40" s="18"/>
      <c r="E40" s="17"/>
      <c r="F40" s="13"/>
      <c r="G40" s="14"/>
      <c r="H40" s="19" t="str">
        <f aca="false">IFERROR((F40/D40)*(1+G40),"")</f>
        <v/>
      </c>
      <c r="I40" s="17"/>
      <c r="J40" s="17"/>
    </row>
    <row r="41" customFormat="false" ht="15" hidden="false" customHeight="true" outlineLevel="0" collapsed="false">
      <c r="A41" s="17"/>
      <c r="B41" s="17"/>
      <c r="C41" s="17"/>
      <c r="D41" s="18"/>
      <c r="E41" s="17"/>
      <c r="F41" s="13"/>
      <c r="G41" s="14"/>
      <c r="H41" s="19" t="str">
        <f aca="false">IFERROR((F41/D41)*(1+G41),"")</f>
        <v/>
      </c>
      <c r="I41" s="17"/>
      <c r="J41" s="17"/>
    </row>
    <row r="42" customFormat="false" ht="15" hidden="false" customHeight="true" outlineLevel="0" collapsed="false">
      <c r="A42" s="17"/>
      <c r="B42" s="17"/>
      <c r="C42" s="17"/>
      <c r="D42" s="18"/>
      <c r="E42" s="17"/>
      <c r="F42" s="13"/>
      <c r="G42" s="14"/>
      <c r="H42" s="19" t="str">
        <f aca="false">IFERROR((F42/D42)*(1+G42),"")</f>
        <v/>
      </c>
      <c r="I42" s="17"/>
      <c r="J42" s="17"/>
    </row>
    <row r="43" customFormat="false" ht="15" hidden="false" customHeight="true" outlineLevel="0" collapsed="false">
      <c r="A43" s="17"/>
      <c r="B43" s="17"/>
      <c r="C43" s="17"/>
      <c r="D43" s="18"/>
      <c r="E43" s="17"/>
      <c r="F43" s="13"/>
      <c r="G43" s="14"/>
      <c r="H43" s="19" t="str">
        <f aca="false">IFERROR((F43/D43)*(1+G43),"")</f>
        <v/>
      </c>
      <c r="I43" s="17"/>
      <c r="J43" s="17"/>
    </row>
    <row r="44" customFormat="false" ht="15" hidden="false" customHeight="true" outlineLevel="0" collapsed="false">
      <c r="A44" s="17"/>
      <c r="B44" s="17"/>
      <c r="C44" s="17"/>
      <c r="D44" s="18"/>
      <c r="E44" s="17"/>
      <c r="F44" s="13"/>
      <c r="G44" s="14"/>
      <c r="H44" s="19" t="str">
        <f aca="false">IFERROR((F44/D44)*(1+G44),"")</f>
        <v/>
      </c>
      <c r="I44" s="17"/>
      <c r="J44" s="17"/>
    </row>
    <row r="45" customFormat="false" ht="15" hidden="false" customHeight="true" outlineLevel="0" collapsed="false">
      <c r="A45" s="17"/>
      <c r="B45" s="17"/>
      <c r="C45" s="17"/>
      <c r="D45" s="18"/>
      <c r="E45" s="17"/>
      <c r="F45" s="13"/>
      <c r="G45" s="14"/>
      <c r="H45" s="19" t="str">
        <f aca="false">IFERROR((F45/D45)*(1+G45),"")</f>
        <v/>
      </c>
      <c r="I45" s="17"/>
      <c r="J45" s="17"/>
    </row>
    <row r="46" customFormat="false" ht="15" hidden="false" customHeight="true" outlineLevel="0" collapsed="false">
      <c r="A46" s="17"/>
      <c r="B46" s="17"/>
      <c r="C46" s="17"/>
      <c r="D46" s="18"/>
      <c r="E46" s="17"/>
      <c r="F46" s="13"/>
      <c r="G46" s="14"/>
      <c r="H46" s="19" t="str">
        <f aca="false">IFERROR((F46/D46)*(1+G46),"")</f>
        <v/>
      </c>
      <c r="I46" s="17"/>
      <c r="J46" s="17"/>
    </row>
    <row r="47" customFormat="false" ht="15" hidden="false" customHeight="true" outlineLevel="0" collapsed="false">
      <c r="A47" s="17"/>
      <c r="B47" s="17"/>
      <c r="C47" s="17"/>
      <c r="D47" s="18"/>
      <c r="E47" s="17"/>
      <c r="F47" s="13"/>
      <c r="G47" s="14"/>
      <c r="H47" s="19" t="str">
        <f aca="false">IFERROR((F47/D47)*(1+G47),"")</f>
        <v/>
      </c>
      <c r="I47" s="17"/>
      <c r="J47" s="17"/>
    </row>
    <row r="48" customFormat="false" ht="15" hidden="false" customHeight="true" outlineLevel="0" collapsed="false">
      <c r="A48" s="17"/>
      <c r="B48" s="17"/>
      <c r="C48" s="17"/>
      <c r="D48" s="18"/>
      <c r="E48" s="17"/>
      <c r="F48" s="13"/>
      <c r="G48" s="14"/>
      <c r="H48" s="19" t="str">
        <f aca="false">IFERROR((F48/D48)*(1+G48),"")</f>
        <v/>
      </c>
      <c r="I48" s="17"/>
      <c r="J48" s="17"/>
    </row>
    <row r="49" customFormat="false" ht="15" hidden="false" customHeight="true" outlineLevel="0" collapsed="false">
      <c r="A49" s="17"/>
      <c r="B49" s="17"/>
      <c r="C49" s="17"/>
      <c r="D49" s="18"/>
      <c r="E49" s="17"/>
      <c r="F49" s="13"/>
      <c r="G49" s="14"/>
      <c r="H49" s="19" t="str">
        <f aca="false">IFERROR((F49/D49)*(1+G49),"")</f>
        <v/>
      </c>
      <c r="I49" s="17"/>
      <c r="J49" s="17"/>
    </row>
    <row r="50" customFormat="false" ht="15" hidden="false" customHeight="true" outlineLevel="0" collapsed="false">
      <c r="A50" s="17"/>
      <c r="B50" s="17"/>
      <c r="C50" s="17"/>
      <c r="D50" s="18"/>
      <c r="E50" s="17"/>
      <c r="F50" s="13"/>
      <c r="G50" s="14"/>
      <c r="H50" s="19" t="str">
        <f aca="false">IFERROR((F50/D50)*(1+G50),"")</f>
        <v/>
      </c>
      <c r="I50" s="17"/>
      <c r="J50" s="17"/>
    </row>
    <row r="51" customFormat="false" ht="15" hidden="false" customHeight="true" outlineLevel="0" collapsed="false">
      <c r="A51" s="17"/>
      <c r="B51" s="17"/>
      <c r="C51" s="17"/>
      <c r="D51" s="18"/>
      <c r="E51" s="17"/>
      <c r="F51" s="13"/>
      <c r="G51" s="14"/>
      <c r="H51" s="19" t="str">
        <f aca="false">IFERROR((F51/D51)*(1+G51),"")</f>
        <v/>
      </c>
      <c r="I51" s="17"/>
      <c r="J51" s="17"/>
    </row>
    <row r="52" customFormat="false" ht="15" hidden="false" customHeight="true" outlineLevel="0" collapsed="false">
      <c r="A52" s="17"/>
      <c r="B52" s="17"/>
      <c r="C52" s="17"/>
      <c r="D52" s="18"/>
      <c r="E52" s="17"/>
      <c r="F52" s="13"/>
      <c r="G52" s="14"/>
      <c r="H52" s="19" t="str">
        <f aca="false">IFERROR((F52/D52)*(1+G52),"")</f>
        <v/>
      </c>
      <c r="I52" s="17"/>
      <c r="J52" s="17"/>
    </row>
    <row r="53" customFormat="false" ht="15" hidden="false" customHeight="true" outlineLevel="0" collapsed="false">
      <c r="A53" s="17"/>
      <c r="B53" s="17"/>
      <c r="C53" s="17"/>
      <c r="D53" s="18"/>
      <c r="E53" s="17"/>
      <c r="F53" s="13"/>
      <c r="G53" s="14"/>
      <c r="H53" s="19" t="str">
        <f aca="false">IFERROR((F53/D53)*(1+G53),"")</f>
        <v/>
      </c>
      <c r="I53" s="17"/>
      <c r="J53" s="17"/>
    </row>
    <row r="54" customFormat="false" ht="15" hidden="false" customHeight="true" outlineLevel="0" collapsed="false">
      <c r="A54" s="17"/>
      <c r="B54" s="17"/>
      <c r="C54" s="17"/>
      <c r="D54" s="18"/>
      <c r="E54" s="17"/>
      <c r="F54" s="13"/>
      <c r="G54" s="14"/>
      <c r="H54" s="19" t="str">
        <f aca="false">IFERROR((F54/D54)*(1+G54),"")</f>
        <v/>
      </c>
      <c r="I54" s="17"/>
      <c r="J54" s="17"/>
    </row>
    <row r="55" customFormat="false" ht="15" hidden="false" customHeight="true" outlineLevel="0" collapsed="false">
      <c r="A55" s="17"/>
      <c r="B55" s="17"/>
      <c r="C55" s="17"/>
      <c r="D55" s="18"/>
      <c r="E55" s="17"/>
      <c r="F55" s="13"/>
      <c r="G55" s="14"/>
      <c r="H55" s="19" t="str">
        <f aca="false">IFERROR((F55/D55)*(1+G55),"")</f>
        <v/>
      </c>
      <c r="I55" s="17"/>
      <c r="J55" s="17"/>
    </row>
    <row r="56" customFormat="false" ht="15" hidden="false" customHeight="true" outlineLevel="0" collapsed="false">
      <c r="A56" s="17"/>
      <c r="B56" s="17"/>
      <c r="C56" s="17"/>
      <c r="D56" s="18"/>
      <c r="E56" s="17"/>
      <c r="F56" s="13"/>
      <c r="G56" s="14"/>
      <c r="H56" s="19" t="str">
        <f aca="false">IFERROR((F56/D56)*(1+G56),"")</f>
        <v/>
      </c>
      <c r="I56" s="17"/>
      <c r="J56" s="17"/>
    </row>
    <row r="57" customFormat="false" ht="15" hidden="false" customHeight="true" outlineLevel="0" collapsed="false">
      <c r="A57" s="17"/>
      <c r="B57" s="17"/>
      <c r="C57" s="17"/>
      <c r="D57" s="18"/>
      <c r="E57" s="17"/>
      <c r="F57" s="13"/>
      <c r="G57" s="14"/>
      <c r="H57" s="19" t="str">
        <f aca="false">IFERROR((F57/D57)*(1+G57),"")</f>
        <v/>
      </c>
      <c r="I57" s="17"/>
      <c r="J57" s="17"/>
    </row>
    <row r="58" customFormat="false" ht="15" hidden="false" customHeight="true" outlineLevel="0" collapsed="false">
      <c r="A58" s="17"/>
      <c r="B58" s="17"/>
      <c r="C58" s="17"/>
      <c r="D58" s="18"/>
      <c r="E58" s="17"/>
      <c r="F58" s="13"/>
      <c r="G58" s="14"/>
      <c r="H58" s="19" t="str">
        <f aca="false">IFERROR((F58/D58)*(1+G58),"")</f>
        <v/>
      </c>
      <c r="I58" s="17"/>
      <c r="J58" s="17"/>
    </row>
    <row r="59" customFormat="false" ht="15" hidden="false" customHeight="true" outlineLevel="0" collapsed="false">
      <c r="A59" s="17"/>
      <c r="B59" s="17"/>
      <c r="C59" s="17"/>
      <c r="D59" s="18"/>
      <c r="E59" s="17"/>
      <c r="F59" s="13"/>
      <c r="G59" s="14"/>
      <c r="H59" s="19" t="str">
        <f aca="false">IFERROR((F59/D59)*(1+G59),"")</f>
        <v/>
      </c>
      <c r="I59" s="17"/>
      <c r="J59" s="17"/>
    </row>
    <row r="60" customFormat="false" ht="15" hidden="false" customHeight="true" outlineLevel="0" collapsed="false">
      <c r="A60" s="17"/>
      <c r="B60" s="17"/>
      <c r="C60" s="17"/>
      <c r="D60" s="18"/>
      <c r="E60" s="17"/>
      <c r="F60" s="13"/>
      <c r="G60" s="14"/>
      <c r="H60" s="19" t="str">
        <f aca="false">IFERROR((F60/D60)*(1+G60),"")</f>
        <v/>
      </c>
      <c r="I60" s="17"/>
      <c r="J60" s="17"/>
    </row>
    <row r="61" customFormat="false" ht="15" hidden="false" customHeight="true" outlineLevel="0" collapsed="false">
      <c r="A61" s="17"/>
      <c r="B61" s="17"/>
      <c r="C61" s="17"/>
      <c r="D61" s="18"/>
      <c r="E61" s="17"/>
      <c r="F61" s="13"/>
      <c r="G61" s="14"/>
      <c r="H61" s="19" t="str">
        <f aca="false">IFERROR((F61/D61)*(1+G61),"")</f>
        <v/>
      </c>
      <c r="I61" s="17"/>
      <c r="J61" s="17"/>
    </row>
    <row r="62" customFormat="false" ht="15" hidden="false" customHeight="true" outlineLevel="0" collapsed="false">
      <c r="A62" s="17"/>
      <c r="B62" s="17"/>
      <c r="C62" s="17"/>
      <c r="D62" s="18"/>
      <c r="E62" s="17"/>
      <c r="F62" s="13"/>
      <c r="G62" s="14"/>
      <c r="H62" s="19" t="str">
        <f aca="false">IFERROR((F62/D62)*(1+G62),"")</f>
        <v/>
      </c>
      <c r="I62" s="17"/>
      <c r="J62" s="17"/>
    </row>
    <row r="63" customFormat="false" ht="15" hidden="false" customHeight="true" outlineLevel="0" collapsed="false">
      <c r="A63" s="17"/>
      <c r="B63" s="17"/>
      <c r="C63" s="17"/>
      <c r="D63" s="18"/>
      <c r="E63" s="17"/>
      <c r="F63" s="13"/>
      <c r="G63" s="14"/>
      <c r="H63" s="19" t="str">
        <f aca="false">IFERROR((F63/D63)*(1+G63),"")</f>
        <v/>
      </c>
      <c r="I63" s="17"/>
      <c r="J63" s="17"/>
    </row>
    <row r="64" customFormat="false" ht="15" hidden="false" customHeight="true" outlineLevel="0" collapsed="false">
      <c r="A64" s="17"/>
      <c r="B64" s="17"/>
      <c r="C64" s="17"/>
      <c r="D64" s="18"/>
      <c r="E64" s="17"/>
      <c r="F64" s="13"/>
      <c r="G64" s="14"/>
      <c r="H64" s="19" t="str">
        <f aca="false">IFERROR((F64/D64)*(1+G64),"")</f>
        <v/>
      </c>
      <c r="I64" s="17"/>
      <c r="J64" s="17"/>
    </row>
    <row r="65" customFormat="false" ht="15" hidden="false" customHeight="true" outlineLevel="0" collapsed="false">
      <c r="A65" s="17"/>
      <c r="B65" s="17"/>
      <c r="C65" s="17"/>
      <c r="D65" s="18"/>
      <c r="E65" s="17"/>
      <c r="F65" s="13"/>
      <c r="G65" s="14"/>
      <c r="H65" s="19" t="str">
        <f aca="false">IFERROR((F65/D65)*(1+G65),"")</f>
        <v/>
      </c>
      <c r="I65" s="17"/>
      <c r="J65" s="17"/>
    </row>
    <row r="66" customFormat="false" ht="15" hidden="false" customHeight="true" outlineLevel="0" collapsed="false">
      <c r="A66" s="17"/>
      <c r="B66" s="17"/>
      <c r="C66" s="17"/>
      <c r="D66" s="18"/>
      <c r="E66" s="17"/>
      <c r="F66" s="13"/>
      <c r="G66" s="14"/>
      <c r="H66" s="19" t="str">
        <f aca="false">IFERROR((F66/D66)*(1+G66),"")</f>
        <v/>
      </c>
      <c r="I66" s="17"/>
      <c r="J66" s="17"/>
    </row>
    <row r="67" customFormat="false" ht="15" hidden="false" customHeight="true" outlineLevel="0" collapsed="false">
      <c r="A67" s="17"/>
      <c r="B67" s="17"/>
      <c r="C67" s="17"/>
      <c r="D67" s="18"/>
      <c r="E67" s="17"/>
      <c r="F67" s="13"/>
      <c r="G67" s="14"/>
      <c r="H67" s="19" t="str">
        <f aca="false">IFERROR((F67/D67)*(1+G67),"")</f>
        <v/>
      </c>
      <c r="I67" s="17"/>
      <c r="J67" s="17"/>
    </row>
    <row r="68" customFormat="false" ht="15" hidden="false" customHeight="true" outlineLevel="0" collapsed="false">
      <c r="A68" s="17"/>
      <c r="B68" s="17"/>
      <c r="C68" s="17"/>
      <c r="D68" s="18"/>
      <c r="E68" s="17"/>
      <c r="F68" s="13"/>
      <c r="G68" s="14"/>
      <c r="H68" s="19" t="str">
        <f aca="false">IFERROR((F68/D68)*(1+G68),"")</f>
        <v/>
      </c>
      <c r="I68" s="17"/>
      <c r="J68" s="17"/>
    </row>
    <row r="69" customFormat="false" ht="15" hidden="false" customHeight="true" outlineLevel="0" collapsed="false">
      <c r="A69" s="17"/>
      <c r="B69" s="17"/>
      <c r="C69" s="17"/>
      <c r="D69" s="18"/>
      <c r="E69" s="17"/>
      <c r="F69" s="13"/>
      <c r="G69" s="14"/>
      <c r="H69" s="19" t="str">
        <f aca="false">IFERROR((F69/D69)*(1+G69),"")</f>
        <v/>
      </c>
      <c r="I69" s="17"/>
      <c r="J69" s="17"/>
    </row>
    <row r="70" customFormat="false" ht="15" hidden="false" customHeight="true" outlineLevel="0" collapsed="false">
      <c r="A70" s="17"/>
      <c r="B70" s="17"/>
      <c r="C70" s="17"/>
      <c r="D70" s="18"/>
      <c r="E70" s="17"/>
      <c r="F70" s="13"/>
      <c r="G70" s="14"/>
      <c r="H70" s="19" t="str">
        <f aca="false">IFERROR((F70/D70)*(1+G70),"")</f>
        <v/>
      </c>
      <c r="I70" s="17"/>
      <c r="J70" s="17"/>
    </row>
    <row r="71" customFormat="false" ht="15" hidden="false" customHeight="true" outlineLevel="0" collapsed="false">
      <c r="A71" s="17"/>
      <c r="B71" s="17"/>
      <c r="C71" s="17"/>
      <c r="D71" s="18"/>
      <c r="E71" s="17"/>
      <c r="F71" s="13"/>
      <c r="G71" s="14"/>
      <c r="H71" s="19" t="str">
        <f aca="false">IFERROR((F71/D71)*(1+G71),"")</f>
        <v/>
      </c>
      <c r="I71" s="17"/>
      <c r="J71" s="17"/>
    </row>
    <row r="72" customFormat="false" ht="15" hidden="false" customHeight="true" outlineLevel="0" collapsed="false">
      <c r="A72" s="17"/>
      <c r="B72" s="17"/>
      <c r="C72" s="17"/>
      <c r="D72" s="18"/>
      <c r="E72" s="17"/>
      <c r="F72" s="13"/>
      <c r="G72" s="14"/>
      <c r="H72" s="19" t="str">
        <f aca="false">IFERROR((F72/D72)*(1+G72),"")</f>
        <v/>
      </c>
      <c r="I72" s="17"/>
      <c r="J72" s="17"/>
    </row>
    <row r="73" customFormat="false" ht="15" hidden="false" customHeight="true" outlineLevel="0" collapsed="false">
      <c r="A73" s="17"/>
      <c r="B73" s="17"/>
      <c r="C73" s="17"/>
      <c r="D73" s="18"/>
      <c r="E73" s="17"/>
      <c r="F73" s="13"/>
      <c r="G73" s="14"/>
      <c r="H73" s="19" t="str">
        <f aca="false">IFERROR((F73/D73)*(1+G73),"")</f>
        <v/>
      </c>
      <c r="I73" s="17"/>
      <c r="J73" s="17"/>
    </row>
    <row r="74" customFormat="false" ht="15" hidden="false" customHeight="true" outlineLevel="0" collapsed="false">
      <c r="A74" s="17"/>
      <c r="B74" s="17"/>
      <c r="C74" s="17"/>
      <c r="D74" s="18"/>
      <c r="E74" s="17"/>
      <c r="F74" s="13"/>
      <c r="G74" s="14"/>
      <c r="H74" s="19" t="str">
        <f aca="false">IFERROR((F74/D74)*(1+G74),"")</f>
        <v/>
      </c>
      <c r="I74" s="17"/>
      <c r="J74" s="17"/>
    </row>
    <row r="75" customFormat="false" ht="15" hidden="false" customHeight="true" outlineLevel="0" collapsed="false">
      <c r="A75" s="17"/>
      <c r="B75" s="17"/>
      <c r="C75" s="17"/>
      <c r="D75" s="18"/>
      <c r="E75" s="17"/>
      <c r="F75" s="13"/>
      <c r="G75" s="14"/>
      <c r="H75" s="19" t="str">
        <f aca="false">IFERROR((F75/D75)*(1+G75),"")</f>
        <v/>
      </c>
      <c r="I75" s="17"/>
      <c r="J75" s="17"/>
    </row>
    <row r="76" customFormat="false" ht="15" hidden="false" customHeight="true" outlineLevel="0" collapsed="false">
      <c r="A76" s="17"/>
      <c r="B76" s="17"/>
      <c r="C76" s="17"/>
      <c r="D76" s="18"/>
      <c r="E76" s="17"/>
      <c r="F76" s="13"/>
      <c r="G76" s="14"/>
      <c r="H76" s="19" t="str">
        <f aca="false">IFERROR((F76/D76)*(1+G76),"")</f>
        <v/>
      </c>
      <c r="I76" s="17"/>
      <c r="J76" s="17"/>
    </row>
    <row r="77" customFormat="false" ht="15" hidden="false" customHeight="true" outlineLevel="0" collapsed="false">
      <c r="A77" s="17"/>
      <c r="B77" s="17"/>
      <c r="C77" s="17"/>
      <c r="D77" s="18"/>
      <c r="E77" s="17"/>
      <c r="F77" s="13"/>
      <c r="G77" s="14"/>
      <c r="H77" s="19" t="str">
        <f aca="false">IFERROR((F77/D77)*(1+G77),"")</f>
        <v/>
      </c>
      <c r="I77" s="17"/>
      <c r="J77" s="17"/>
    </row>
    <row r="78" customFormat="false" ht="15" hidden="false" customHeight="true" outlineLevel="0" collapsed="false">
      <c r="A78" s="17"/>
      <c r="B78" s="17"/>
      <c r="C78" s="17"/>
      <c r="D78" s="18"/>
      <c r="E78" s="17"/>
      <c r="F78" s="13"/>
      <c r="G78" s="14"/>
      <c r="H78" s="19" t="str">
        <f aca="false">IFERROR((F78/D78)*(1+G78),"")</f>
        <v/>
      </c>
      <c r="I78" s="17"/>
      <c r="J78" s="17"/>
    </row>
    <row r="79" customFormat="false" ht="15" hidden="false" customHeight="true" outlineLevel="0" collapsed="false">
      <c r="A79" s="17"/>
      <c r="B79" s="17"/>
      <c r="C79" s="17"/>
      <c r="D79" s="18"/>
      <c r="E79" s="17"/>
      <c r="F79" s="13"/>
      <c r="G79" s="14"/>
      <c r="H79" s="19" t="str">
        <f aca="false">IFERROR((F79/D79)*(1+G79),"")</f>
        <v/>
      </c>
      <c r="I79" s="17"/>
      <c r="J79" s="17"/>
    </row>
    <row r="80" customFormat="false" ht="15" hidden="false" customHeight="true" outlineLevel="0" collapsed="false">
      <c r="A80" s="17"/>
      <c r="B80" s="17"/>
      <c r="C80" s="17"/>
      <c r="D80" s="18"/>
      <c r="E80" s="17"/>
      <c r="F80" s="13"/>
      <c r="G80" s="14"/>
      <c r="H80" s="19" t="str">
        <f aca="false">IFERROR((F80/D80)*(1+G80),"")</f>
        <v/>
      </c>
      <c r="I80" s="17"/>
      <c r="J80" s="17"/>
    </row>
    <row r="81" customFormat="false" ht="15" hidden="false" customHeight="true" outlineLevel="0" collapsed="false">
      <c r="A81" s="17"/>
      <c r="B81" s="17"/>
      <c r="C81" s="17"/>
      <c r="D81" s="18"/>
      <c r="E81" s="17"/>
      <c r="F81" s="13"/>
      <c r="G81" s="14"/>
      <c r="H81" s="19" t="str">
        <f aca="false">IFERROR((F81/D81)*(1+G81),"")</f>
        <v/>
      </c>
      <c r="I81" s="17"/>
      <c r="J81" s="17"/>
    </row>
    <row r="82" customFormat="false" ht="15" hidden="false" customHeight="true" outlineLevel="0" collapsed="false">
      <c r="A82" s="17"/>
      <c r="B82" s="17"/>
      <c r="C82" s="17"/>
      <c r="D82" s="18"/>
      <c r="E82" s="17"/>
      <c r="F82" s="13"/>
      <c r="G82" s="14"/>
      <c r="H82" s="19" t="str">
        <f aca="false">IFERROR((F82/D82)*(1+G82),"")</f>
        <v/>
      </c>
      <c r="I82" s="17"/>
      <c r="J82" s="17"/>
    </row>
    <row r="83" customFormat="false" ht="15" hidden="false" customHeight="true" outlineLevel="0" collapsed="false">
      <c r="A83" s="17"/>
      <c r="B83" s="17"/>
      <c r="C83" s="17"/>
      <c r="D83" s="18"/>
      <c r="E83" s="17"/>
      <c r="F83" s="13"/>
      <c r="G83" s="14"/>
      <c r="H83" s="19" t="str">
        <f aca="false">IFERROR((F83/D83)*(1+G83),"")</f>
        <v/>
      </c>
      <c r="I83" s="17"/>
      <c r="J83" s="17"/>
    </row>
    <row r="84" customFormat="false" ht="15" hidden="false" customHeight="true" outlineLevel="0" collapsed="false">
      <c r="A84" s="17"/>
      <c r="B84" s="17"/>
      <c r="C84" s="17"/>
      <c r="D84" s="18"/>
      <c r="E84" s="17"/>
      <c r="F84" s="13"/>
      <c r="G84" s="14"/>
      <c r="H84" s="19" t="str">
        <f aca="false">IFERROR((F84/D84)*(1+G84),"")</f>
        <v/>
      </c>
      <c r="I84" s="17"/>
      <c r="J84" s="17"/>
    </row>
    <row r="85" customFormat="false" ht="15" hidden="false" customHeight="true" outlineLevel="0" collapsed="false">
      <c r="A85" s="17"/>
      <c r="B85" s="17"/>
      <c r="C85" s="17"/>
      <c r="D85" s="18"/>
      <c r="E85" s="17"/>
      <c r="F85" s="13"/>
      <c r="G85" s="14"/>
      <c r="H85" s="19" t="str">
        <f aca="false">IFERROR((F85/D85)*(1+G85),"")</f>
        <v/>
      </c>
      <c r="I85" s="17"/>
      <c r="J85" s="17"/>
    </row>
    <row r="86" customFormat="false" ht="15" hidden="false" customHeight="true" outlineLevel="0" collapsed="false">
      <c r="A86" s="17"/>
      <c r="B86" s="17"/>
      <c r="C86" s="17"/>
      <c r="D86" s="18"/>
      <c r="E86" s="17"/>
      <c r="F86" s="13"/>
      <c r="G86" s="14"/>
      <c r="H86" s="19" t="str">
        <f aca="false">IFERROR((F86/D86)*(1+G86),"")</f>
        <v/>
      </c>
      <c r="I86" s="17"/>
      <c r="J86" s="17"/>
    </row>
    <row r="87" customFormat="false" ht="15" hidden="false" customHeight="true" outlineLevel="0" collapsed="false">
      <c r="A87" s="17"/>
      <c r="B87" s="17"/>
      <c r="C87" s="17"/>
      <c r="D87" s="18"/>
      <c r="E87" s="17"/>
      <c r="F87" s="13"/>
      <c r="G87" s="14"/>
      <c r="H87" s="19" t="str">
        <f aca="false">IFERROR((F87/D87)*(1+G87),"")</f>
        <v/>
      </c>
      <c r="I87" s="17"/>
      <c r="J87" s="17"/>
    </row>
    <row r="88" customFormat="false" ht="15" hidden="false" customHeight="true" outlineLevel="0" collapsed="false">
      <c r="A88" s="17"/>
      <c r="B88" s="17"/>
      <c r="C88" s="17"/>
      <c r="D88" s="18"/>
      <c r="E88" s="17"/>
      <c r="F88" s="13"/>
      <c r="G88" s="14"/>
      <c r="H88" s="19" t="str">
        <f aca="false">IFERROR((F88/D88)*(1+G88),"")</f>
        <v/>
      </c>
      <c r="I88" s="17"/>
      <c r="J88" s="17"/>
    </row>
    <row r="89" customFormat="false" ht="15" hidden="false" customHeight="true" outlineLevel="0" collapsed="false">
      <c r="A89" s="17"/>
      <c r="B89" s="17"/>
      <c r="C89" s="17"/>
      <c r="D89" s="18"/>
      <c r="E89" s="17"/>
      <c r="F89" s="13"/>
      <c r="G89" s="14"/>
      <c r="H89" s="19" t="str">
        <f aca="false">IFERROR((F89/D89)*(1+G89),"")</f>
        <v/>
      </c>
      <c r="I89" s="17"/>
      <c r="J89" s="17"/>
    </row>
    <row r="90" customFormat="false" ht="15" hidden="false" customHeight="true" outlineLevel="0" collapsed="false">
      <c r="A90" s="17"/>
      <c r="B90" s="17"/>
      <c r="C90" s="17"/>
      <c r="D90" s="18"/>
      <c r="E90" s="17"/>
      <c r="F90" s="13"/>
      <c r="G90" s="14"/>
      <c r="H90" s="19" t="str">
        <f aca="false">IFERROR((F90/D90)*(1+G90),"")</f>
        <v/>
      </c>
      <c r="I90" s="17"/>
      <c r="J90" s="17"/>
    </row>
    <row r="91" customFormat="false" ht="15" hidden="false" customHeight="true" outlineLevel="0" collapsed="false">
      <c r="A91" s="17"/>
      <c r="B91" s="17"/>
      <c r="C91" s="17"/>
      <c r="D91" s="18"/>
      <c r="E91" s="17"/>
      <c r="F91" s="13"/>
      <c r="G91" s="14"/>
      <c r="H91" s="19" t="str">
        <f aca="false">IFERROR((F91/D91)*(1+G91),"")</f>
        <v/>
      </c>
      <c r="I91" s="17"/>
      <c r="J91" s="17"/>
    </row>
    <row r="92" customFormat="false" ht="15" hidden="false" customHeight="true" outlineLevel="0" collapsed="false">
      <c r="A92" s="17"/>
      <c r="B92" s="17"/>
      <c r="C92" s="17"/>
      <c r="D92" s="18"/>
      <c r="E92" s="17"/>
      <c r="F92" s="13"/>
      <c r="G92" s="14"/>
      <c r="H92" s="19" t="str">
        <f aca="false">IFERROR((F92/D92)*(1+G92),"")</f>
        <v/>
      </c>
      <c r="I92" s="17"/>
      <c r="J92" s="17"/>
    </row>
    <row r="93" customFormat="false" ht="15" hidden="false" customHeight="true" outlineLevel="0" collapsed="false">
      <c r="A93" s="17"/>
      <c r="B93" s="17"/>
      <c r="C93" s="17"/>
      <c r="D93" s="18"/>
      <c r="E93" s="17"/>
      <c r="F93" s="13"/>
      <c r="G93" s="14"/>
      <c r="H93" s="19" t="str">
        <f aca="false">IFERROR((F93/D93)*(1+G93),"")</f>
        <v/>
      </c>
      <c r="I93" s="17"/>
      <c r="J93" s="17"/>
    </row>
    <row r="94" customFormat="false" ht="15" hidden="false" customHeight="true" outlineLevel="0" collapsed="false">
      <c r="A94" s="17"/>
      <c r="B94" s="17"/>
      <c r="C94" s="17"/>
      <c r="D94" s="18"/>
      <c r="E94" s="17"/>
      <c r="F94" s="13"/>
      <c r="G94" s="14"/>
      <c r="H94" s="19" t="str">
        <f aca="false">IFERROR((F94/D94)*(1+G94),"")</f>
        <v/>
      </c>
      <c r="I94" s="17"/>
      <c r="J94" s="17"/>
    </row>
    <row r="95" customFormat="false" ht="15" hidden="false" customHeight="true" outlineLevel="0" collapsed="false">
      <c r="A95" s="17"/>
      <c r="B95" s="17"/>
      <c r="C95" s="17"/>
      <c r="D95" s="18"/>
      <c r="E95" s="17"/>
      <c r="F95" s="13"/>
      <c r="G95" s="14"/>
      <c r="H95" s="19" t="str">
        <f aca="false">IFERROR((F95/D95)*(1+G95),"")</f>
        <v/>
      </c>
      <c r="I95" s="17"/>
      <c r="J95" s="17"/>
    </row>
    <row r="96" customFormat="false" ht="15" hidden="false" customHeight="true" outlineLevel="0" collapsed="false">
      <c r="A96" s="17"/>
      <c r="B96" s="17"/>
      <c r="C96" s="17"/>
      <c r="D96" s="18"/>
      <c r="E96" s="17"/>
      <c r="F96" s="13"/>
      <c r="G96" s="14"/>
      <c r="H96" s="19" t="str">
        <f aca="false">IFERROR((F96/D96)*(1+G96),"")</f>
        <v/>
      </c>
      <c r="I96" s="17"/>
      <c r="J96" s="17"/>
    </row>
    <row r="97" customFormat="false" ht="15" hidden="false" customHeight="true" outlineLevel="0" collapsed="false">
      <c r="A97" s="17"/>
      <c r="B97" s="17"/>
      <c r="C97" s="17"/>
      <c r="D97" s="18"/>
      <c r="E97" s="17"/>
      <c r="F97" s="13"/>
      <c r="G97" s="14"/>
      <c r="H97" s="19" t="str">
        <f aca="false">IFERROR((F97/D97)*(1+G97),"")</f>
        <v/>
      </c>
      <c r="I97" s="17"/>
      <c r="J97" s="17"/>
    </row>
    <row r="98" customFormat="false" ht="15" hidden="false" customHeight="true" outlineLevel="0" collapsed="false">
      <c r="A98" s="17"/>
      <c r="B98" s="17"/>
      <c r="C98" s="17"/>
      <c r="D98" s="18"/>
      <c r="E98" s="17"/>
      <c r="F98" s="13"/>
      <c r="G98" s="14"/>
      <c r="H98" s="19" t="str">
        <f aca="false">IFERROR((F98/D98)*(1+G98),"")</f>
        <v/>
      </c>
      <c r="I98" s="17"/>
      <c r="J98" s="17"/>
    </row>
    <row r="99" customFormat="false" ht="15" hidden="false" customHeight="true" outlineLevel="0" collapsed="false">
      <c r="A99" s="17"/>
      <c r="B99" s="17"/>
      <c r="C99" s="17"/>
      <c r="D99" s="18"/>
      <c r="E99" s="17"/>
      <c r="F99" s="13"/>
      <c r="G99" s="14"/>
      <c r="H99" s="19" t="str">
        <f aca="false">IFERROR((F99/D99)*(1+G99),"")</f>
        <v/>
      </c>
      <c r="I99" s="17"/>
      <c r="J99" s="17"/>
    </row>
    <row r="100" customFormat="false" ht="15" hidden="false" customHeight="true" outlineLevel="0" collapsed="false">
      <c r="A100" s="17"/>
      <c r="B100" s="17"/>
      <c r="C100" s="17"/>
      <c r="D100" s="18"/>
      <c r="E100" s="17"/>
      <c r="F100" s="13"/>
      <c r="G100" s="14"/>
      <c r="H100" s="19" t="str">
        <f aca="false">IFERROR((F100/D100)*(1+G100),"")</f>
        <v/>
      </c>
      <c r="I100" s="17"/>
      <c r="J100" s="17"/>
    </row>
    <row r="101" customFormat="false" ht="15" hidden="false" customHeight="true" outlineLevel="0" collapsed="false">
      <c r="A101" s="17"/>
      <c r="B101" s="17"/>
      <c r="C101" s="17"/>
      <c r="D101" s="18"/>
      <c r="E101" s="17"/>
      <c r="F101" s="13"/>
      <c r="G101" s="14"/>
      <c r="H101" s="19" t="str">
        <f aca="false">IFERROR((F101/D101)*(1+G101),"")</f>
        <v/>
      </c>
      <c r="I101" s="17"/>
      <c r="J101" s="17"/>
    </row>
    <row r="102" customFormat="false" ht="15" hidden="false" customHeight="true" outlineLevel="0" collapsed="false">
      <c r="A102" s="17"/>
      <c r="B102" s="17"/>
      <c r="C102" s="17"/>
      <c r="D102" s="18"/>
      <c r="E102" s="17"/>
      <c r="F102" s="13"/>
      <c r="G102" s="14"/>
      <c r="H102" s="19" t="str">
        <f aca="false">IFERROR((F102/D102)*(1+G102),"")</f>
        <v/>
      </c>
      <c r="I102" s="17"/>
      <c r="J102" s="17"/>
    </row>
    <row r="103" customFormat="false" ht="15" hidden="false" customHeight="true" outlineLevel="0" collapsed="false">
      <c r="A103" s="17"/>
      <c r="B103" s="17"/>
      <c r="C103" s="17"/>
      <c r="D103" s="18"/>
      <c r="E103" s="17"/>
      <c r="F103" s="13"/>
      <c r="G103" s="14"/>
      <c r="H103" s="19" t="str">
        <f aca="false">IFERROR((F103/D103)*(1+G103),"")</f>
        <v/>
      </c>
      <c r="I103" s="17"/>
      <c r="J103" s="17"/>
    </row>
    <row r="104" customFormat="false" ht="15" hidden="false" customHeight="true" outlineLevel="0" collapsed="false">
      <c r="A104" s="17"/>
      <c r="B104" s="17"/>
      <c r="C104" s="17"/>
      <c r="D104" s="18"/>
      <c r="E104" s="17"/>
      <c r="F104" s="13"/>
      <c r="G104" s="14"/>
      <c r="H104" s="19" t="str">
        <f aca="false">IFERROR((F104/D104)*(1+G104),"")</f>
        <v/>
      </c>
      <c r="I104" s="17"/>
      <c r="J104" s="17"/>
    </row>
    <row r="105" customFormat="false" ht="15" hidden="false" customHeight="true" outlineLevel="0" collapsed="false">
      <c r="A105" s="17"/>
      <c r="B105" s="17"/>
      <c r="C105" s="17"/>
      <c r="D105" s="18"/>
      <c r="E105" s="17"/>
      <c r="F105" s="13"/>
      <c r="G105" s="14"/>
      <c r="H105" s="19" t="str">
        <f aca="false">IFERROR((F105/D105)*(1+G105),"")</f>
        <v/>
      </c>
      <c r="I105" s="17"/>
      <c r="J105" s="17"/>
    </row>
    <row r="106" customFormat="false" ht="15" hidden="false" customHeight="true" outlineLevel="0" collapsed="false">
      <c r="A106" s="17"/>
      <c r="B106" s="17"/>
      <c r="C106" s="17"/>
      <c r="D106" s="18"/>
      <c r="E106" s="17"/>
      <c r="F106" s="13"/>
      <c r="G106" s="14"/>
      <c r="H106" s="19" t="str">
        <f aca="false">IFERROR((F106/D106)*(1+G106),"")</f>
        <v/>
      </c>
      <c r="I106" s="17"/>
      <c r="J106" s="17"/>
    </row>
    <row r="107" customFormat="false" ht="15" hidden="false" customHeight="true" outlineLevel="0" collapsed="false">
      <c r="A107" s="17"/>
      <c r="B107" s="17"/>
      <c r="C107" s="17"/>
      <c r="D107" s="18"/>
      <c r="E107" s="17"/>
      <c r="F107" s="13"/>
      <c r="G107" s="14"/>
      <c r="H107" s="19" t="str">
        <f aca="false">IFERROR((F107/D107)*(1+G107),"")</f>
        <v/>
      </c>
      <c r="I107" s="17"/>
      <c r="J107" s="17"/>
    </row>
    <row r="108" customFormat="false" ht="15" hidden="false" customHeight="true" outlineLevel="0" collapsed="false">
      <c r="A108" s="17"/>
      <c r="B108" s="17"/>
      <c r="C108" s="17"/>
      <c r="D108" s="18"/>
      <c r="E108" s="17"/>
      <c r="F108" s="13"/>
      <c r="G108" s="14"/>
      <c r="H108" s="19" t="str">
        <f aca="false">IFERROR((F108/D108)*(1+G108),"")</f>
        <v/>
      </c>
      <c r="I108" s="17"/>
      <c r="J108" s="17"/>
    </row>
    <row r="109" customFormat="false" ht="15" hidden="false" customHeight="true" outlineLevel="0" collapsed="false">
      <c r="A109" s="17"/>
      <c r="B109" s="17"/>
      <c r="C109" s="17"/>
      <c r="D109" s="18"/>
      <c r="E109" s="17"/>
      <c r="F109" s="13"/>
      <c r="G109" s="14"/>
      <c r="H109" s="19" t="str">
        <f aca="false">IFERROR((F109/D109)*(1+G109),"")</f>
        <v/>
      </c>
      <c r="I109" s="17"/>
      <c r="J109" s="17"/>
    </row>
    <row r="110" customFormat="false" ht="15" hidden="false" customHeight="true" outlineLevel="0" collapsed="false">
      <c r="A110" s="17"/>
      <c r="B110" s="17"/>
      <c r="C110" s="17"/>
      <c r="D110" s="18"/>
      <c r="E110" s="17"/>
      <c r="F110" s="13"/>
      <c r="G110" s="14"/>
      <c r="H110" s="19" t="str">
        <f aca="false">IFERROR((F110/D110)*(1+G110),"")</f>
        <v/>
      </c>
      <c r="I110" s="17"/>
      <c r="J110" s="17"/>
    </row>
    <row r="111" customFormat="false" ht="15" hidden="false" customHeight="true" outlineLevel="0" collapsed="false">
      <c r="A111" s="17"/>
      <c r="B111" s="17"/>
      <c r="C111" s="17"/>
      <c r="D111" s="18"/>
      <c r="E111" s="17"/>
      <c r="F111" s="13"/>
      <c r="G111" s="14"/>
      <c r="H111" s="19" t="str">
        <f aca="false">IFERROR((F111/D111)*(1+G111),"")</f>
        <v/>
      </c>
      <c r="I111" s="17"/>
      <c r="J111" s="17"/>
    </row>
    <row r="112" customFormat="false" ht="15" hidden="false" customHeight="true" outlineLevel="0" collapsed="false">
      <c r="A112" s="17"/>
      <c r="B112" s="17"/>
      <c r="C112" s="17"/>
      <c r="D112" s="18"/>
      <c r="E112" s="17"/>
      <c r="F112" s="13"/>
      <c r="G112" s="14"/>
      <c r="H112" s="19" t="str">
        <f aca="false">IFERROR((F112/D112)*(1+G112),"")</f>
        <v/>
      </c>
      <c r="I112" s="17"/>
      <c r="J112" s="17"/>
    </row>
    <row r="113" customFormat="false" ht="15" hidden="false" customHeight="true" outlineLevel="0" collapsed="false">
      <c r="A113" s="17"/>
      <c r="B113" s="17"/>
      <c r="C113" s="17"/>
      <c r="D113" s="18"/>
      <c r="E113" s="17"/>
      <c r="F113" s="13"/>
      <c r="G113" s="14"/>
      <c r="H113" s="19" t="str">
        <f aca="false">IFERROR((F113/D113)*(1+G113),"")</f>
        <v/>
      </c>
      <c r="I113" s="17"/>
      <c r="J113" s="17"/>
    </row>
    <row r="114" customFormat="false" ht="15" hidden="false" customHeight="true" outlineLevel="0" collapsed="false">
      <c r="A114" s="17"/>
      <c r="B114" s="17"/>
      <c r="C114" s="17"/>
      <c r="D114" s="18"/>
      <c r="E114" s="17"/>
      <c r="F114" s="13"/>
      <c r="G114" s="14"/>
      <c r="H114" s="19" t="str">
        <f aca="false">IFERROR((F114/D114)*(1+G114),"")</f>
        <v/>
      </c>
      <c r="I114" s="17"/>
      <c r="J114" s="17"/>
    </row>
    <row r="115" customFormat="false" ht="15" hidden="false" customHeight="true" outlineLevel="0" collapsed="false">
      <c r="A115" s="17"/>
      <c r="B115" s="17"/>
      <c r="C115" s="17"/>
      <c r="D115" s="18"/>
      <c r="E115" s="17"/>
      <c r="F115" s="13"/>
      <c r="G115" s="14"/>
      <c r="H115" s="19" t="str">
        <f aca="false">IFERROR((F115/D115)*(1+G115),"")</f>
        <v/>
      </c>
      <c r="I115" s="17"/>
      <c r="J115" s="17"/>
    </row>
    <row r="116" customFormat="false" ht="15" hidden="false" customHeight="true" outlineLevel="0" collapsed="false">
      <c r="A116" s="17"/>
      <c r="B116" s="17"/>
      <c r="C116" s="17"/>
      <c r="D116" s="18"/>
      <c r="E116" s="17"/>
      <c r="F116" s="13"/>
      <c r="G116" s="14"/>
      <c r="H116" s="19" t="str">
        <f aca="false">IFERROR((F116/D116)*(1+G116),"")</f>
        <v/>
      </c>
      <c r="I116" s="17"/>
      <c r="J116" s="17"/>
    </row>
    <row r="117" customFormat="false" ht="15" hidden="false" customHeight="true" outlineLevel="0" collapsed="false">
      <c r="A117" s="17"/>
      <c r="B117" s="17"/>
      <c r="C117" s="17"/>
      <c r="D117" s="18"/>
      <c r="E117" s="17"/>
      <c r="F117" s="13"/>
      <c r="G117" s="14"/>
      <c r="H117" s="19" t="str">
        <f aca="false">IFERROR((F117/D117)*(1+G117),"")</f>
        <v/>
      </c>
      <c r="I117" s="17"/>
      <c r="J117" s="17"/>
    </row>
    <row r="118" customFormat="false" ht="15" hidden="false" customHeight="true" outlineLevel="0" collapsed="false">
      <c r="A118" s="17"/>
      <c r="B118" s="17"/>
      <c r="C118" s="17"/>
      <c r="D118" s="18"/>
      <c r="E118" s="17"/>
      <c r="F118" s="13"/>
      <c r="G118" s="14"/>
      <c r="H118" s="19" t="str">
        <f aca="false">IFERROR((F118/D118)*(1+G118),"")</f>
        <v/>
      </c>
      <c r="I118" s="17"/>
      <c r="J118" s="17"/>
    </row>
    <row r="119" customFormat="false" ht="15" hidden="false" customHeight="true" outlineLevel="0" collapsed="false">
      <c r="A119" s="17"/>
      <c r="B119" s="17"/>
      <c r="C119" s="17"/>
      <c r="D119" s="18"/>
      <c r="E119" s="17"/>
      <c r="F119" s="13"/>
      <c r="G119" s="14"/>
      <c r="H119" s="19" t="str">
        <f aca="false">IFERROR((F119/D119)*(1+G119),"")</f>
        <v/>
      </c>
      <c r="I119" s="17"/>
      <c r="J119" s="17"/>
    </row>
    <row r="120" customFormat="false" ht="15" hidden="false" customHeight="true" outlineLevel="0" collapsed="false">
      <c r="A120" s="17"/>
      <c r="B120" s="17"/>
      <c r="C120" s="17"/>
      <c r="D120" s="18"/>
      <c r="E120" s="17"/>
      <c r="F120" s="13"/>
      <c r="G120" s="14"/>
      <c r="H120" s="19" t="str">
        <f aca="false">IFERROR((F120/D120)*(1+G120),"")</f>
        <v/>
      </c>
      <c r="I120" s="17"/>
      <c r="J120" s="17"/>
    </row>
    <row r="121" customFormat="false" ht="15" hidden="false" customHeight="true" outlineLevel="0" collapsed="false">
      <c r="A121" s="17"/>
      <c r="B121" s="17"/>
      <c r="C121" s="17"/>
      <c r="D121" s="18"/>
      <c r="E121" s="17"/>
      <c r="F121" s="13"/>
      <c r="G121" s="14"/>
      <c r="H121" s="19" t="str">
        <f aca="false">IFERROR((F121/D121)*(1+G121),"")</f>
        <v/>
      </c>
      <c r="I121" s="17"/>
      <c r="J121" s="17"/>
    </row>
    <row r="122" customFormat="false" ht="15" hidden="false" customHeight="true" outlineLevel="0" collapsed="false">
      <c r="A122" s="17"/>
      <c r="B122" s="17"/>
      <c r="C122" s="17"/>
      <c r="D122" s="18"/>
      <c r="E122" s="17"/>
      <c r="F122" s="13"/>
      <c r="G122" s="14"/>
      <c r="H122" s="19" t="str">
        <f aca="false">IFERROR((F122/D122)*(1+G122),"")</f>
        <v/>
      </c>
      <c r="I122" s="17"/>
      <c r="J122" s="17"/>
    </row>
    <row r="123" customFormat="false" ht="15" hidden="false" customHeight="true" outlineLevel="0" collapsed="false">
      <c r="A123" s="17"/>
      <c r="B123" s="17"/>
      <c r="C123" s="17"/>
      <c r="D123" s="18"/>
      <c r="E123" s="17"/>
      <c r="F123" s="13"/>
      <c r="G123" s="14"/>
      <c r="H123" s="19" t="str">
        <f aca="false">IFERROR((F123/D123)*(1+G123),"")</f>
        <v/>
      </c>
      <c r="I123" s="17"/>
      <c r="J123" s="17"/>
    </row>
    <row r="124" customFormat="false" ht="15" hidden="false" customHeight="true" outlineLevel="0" collapsed="false">
      <c r="A124" s="17"/>
      <c r="B124" s="17"/>
      <c r="C124" s="17"/>
      <c r="D124" s="18"/>
      <c r="E124" s="17"/>
      <c r="F124" s="13"/>
      <c r="G124" s="14"/>
      <c r="H124" s="19" t="str">
        <f aca="false">IFERROR((F124/D124)*(1+G124),"")</f>
        <v/>
      </c>
      <c r="I124" s="17"/>
      <c r="J124" s="17"/>
    </row>
    <row r="125" customFormat="false" ht="15" hidden="false" customHeight="true" outlineLevel="0" collapsed="false">
      <c r="A125" s="17"/>
      <c r="B125" s="17"/>
      <c r="C125" s="17"/>
      <c r="D125" s="18"/>
      <c r="E125" s="17"/>
      <c r="F125" s="13"/>
      <c r="G125" s="14"/>
      <c r="H125" s="19" t="str">
        <f aca="false">IFERROR((F125/D125)*(1+G125),"")</f>
        <v/>
      </c>
      <c r="I125" s="17"/>
      <c r="J125" s="17"/>
    </row>
    <row r="126" customFormat="false" ht="15" hidden="false" customHeight="true" outlineLevel="0" collapsed="false">
      <c r="A126" s="17"/>
      <c r="B126" s="17"/>
      <c r="C126" s="17"/>
      <c r="D126" s="18"/>
      <c r="E126" s="17"/>
      <c r="F126" s="13"/>
      <c r="G126" s="14"/>
      <c r="H126" s="19" t="str">
        <f aca="false">IFERROR((F126/D126)*(1+G126),"")</f>
        <v/>
      </c>
      <c r="I126" s="17"/>
      <c r="J126" s="17"/>
    </row>
    <row r="127" customFormat="false" ht="15" hidden="false" customHeight="true" outlineLevel="0" collapsed="false">
      <c r="A127" s="17"/>
      <c r="B127" s="17"/>
      <c r="C127" s="17"/>
      <c r="D127" s="18"/>
      <c r="E127" s="17"/>
      <c r="F127" s="13"/>
      <c r="G127" s="14"/>
      <c r="H127" s="19" t="str">
        <f aca="false">IFERROR((F127/D127)*(1+G127),"")</f>
        <v/>
      </c>
      <c r="I127" s="17"/>
      <c r="J127" s="17"/>
    </row>
    <row r="128" customFormat="false" ht="15" hidden="false" customHeight="true" outlineLevel="0" collapsed="false">
      <c r="A128" s="17"/>
      <c r="B128" s="17"/>
      <c r="C128" s="17"/>
      <c r="D128" s="18"/>
      <c r="E128" s="17"/>
      <c r="F128" s="13"/>
      <c r="G128" s="14"/>
      <c r="H128" s="19" t="str">
        <f aca="false">IFERROR((F128/D128)*(1+G128),"")</f>
        <v/>
      </c>
      <c r="I128" s="17"/>
      <c r="J128" s="17"/>
    </row>
    <row r="129" customFormat="false" ht="15" hidden="false" customHeight="true" outlineLevel="0" collapsed="false">
      <c r="A129" s="17"/>
      <c r="B129" s="17"/>
      <c r="C129" s="17"/>
      <c r="D129" s="18"/>
      <c r="E129" s="17"/>
      <c r="F129" s="13"/>
      <c r="G129" s="14"/>
      <c r="H129" s="19" t="str">
        <f aca="false">IFERROR((F129/D129)*(1+G129),"")</f>
        <v/>
      </c>
      <c r="I129" s="17"/>
      <c r="J129" s="17"/>
    </row>
    <row r="130" customFormat="false" ht="15" hidden="false" customHeight="true" outlineLevel="0" collapsed="false">
      <c r="A130" s="17"/>
      <c r="B130" s="17"/>
      <c r="C130" s="17"/>
      <c r="D130" s="18"/>
      <c r="E130" s="17"/>
      <c r="F130" s="13"/>
      <c r="G130" s="14"/>
      <c r="H130" s="19" t="str">
        <f aca="false">IFERROR((F130/D130)*(1+G130),"")</f>
        <v/>
      </c>
      <c r="I130" s="17"/>
      <c r="J130" s="17"/>
    </row>
    <row r="131" customFormat="false" ht="15" hidden="false" customHeight="true" outlineLevel="0" collapsed="false">
      <c r="A131" s="17"/>
      <c r="B131" s="17"/>
      <c r="C131" s="17"/>
      <c r="D131" s="18"/>
      <c r="E131" s="17"/>
      <c r="F131" s="13"/>
      <c r="G131" s="14"/>
      <c r="H131" s="19" t="str">
        <f aca="false">IFERROR((F131/D131)*(1+G131),"")</f>
        <v/>
      </c>
      <c r="I131" s="17"/>
      <c r="J131" s="17"/>
    </row>
    <row r="132" customFormat="false" ht="15" hidden="false" customHeight="true" outlineLevel="0" collapsed="false">
      <c r="A132" s="17"/>
      <c r="B132" s="17"/>
      <c r="C132" s="17"/>
      <c r="D132" s="18"/>
      <c r="E132" s="17"/>
      <c r="F132" s="13"/>
      <c r="G132" s="14"/>
      <c r="H132" s="19" t="str">
        <f aca="false">IFERROR((F132/D132)*(1+G132),"")</f>
        <v/>
      </c>
      <c r="I132" s="17"/>
      <c r="J132" s="17"/>
    </row>
    <row r="133" customFormat="false" ht="15" hidden="false" customHeight="true" outlineLevel="0" collapsed="false">
      <c r="A133" s="17"/>
      <c r="B133" s="17"/>
      <c r="C133" s="17"/>
      <c r="D133" s="18"/>
      <c r="E133" s="17"/>
      <c r="F133" s="13"/>
      <c r="G133" s="14"/>
      <c r="H133" s="19" t="str">
        <f aca="false">IFERROR((F133/D133)*(1+G133),"")</f>
        <v/>
      </c>
      <c r="I133" s="17"/>
      <c r="J133" s="17"/>
    </row>
    <row r="134" customFormat="false" ht="15" hidden="false" customHeight="true" outlineLevel="0" collapsed="false">
      <c r="A134" s="17"/>
      <c r="B134" s="17"/>
      <c r="C134" s="17"/>
      <c r="D134" s="18"/>
      <c r="E134" s="17"/>
      <c r="F134" s="13"/>
      <c r="G134" s="14"/>
      <c r="H134" s="19" t="str">
        <f aca="false">IFERROR((F134/D134)*(1+G134),"")</f>
        <v/>
      </c>
      <c r="I134" s="17"/>
      <c r="J134" s="17"/>
    </row>
    <row r="135" customFormat="false" ht="15" hidden="false" customHeight="true" outlineLevel="0" collapsed="false">
      <c r="A135" s="17"/>
      <c r="B135" s="17"/>
      <c r="C135" s="17"/>
      <c r="D135" s="18"/>
      <c r="E135" s="17"/>
      <c r="F135" s="13"/>
      <c r="G135" s="14"/>
      <c r="H135" s="19" t="str">
        <f aca="false">IFERROR((F135/D135)*(1+G135),"")</f>
        <v/>
      </c>
      <c r="I135" s="17"/>
      <c r="J135" s="17"/>
    </row>
    <row r="136" customFormat="false" ht="15" hidden="false" customHeight="true" outlineLevel="0" collapsed="false">
      <c r="A136" s="17"/>
      <c r="B136" s="17"/>
      <c r="C136" s="17"/>
      <c r="D136" s="18"/>
      <c r="E136" s="17"/>
      <c r="F136" s="13"/>
      <c r="G136" s="14"/>
      <c r="H136" s="19" t="str">
        <f aca="false">IFERROR((F136/D136)*(1+G136),"")</f>
        <v/>
      </c>
      <c r="I136" s="17"/>
      <c r="J136" s="17"/>
    </row>
    <row r="137" customFormat="false" ht="15" hidden="false" customHeight="true" outlineLevel="0" collapsed="false">
      <c r="A137" s="17"/>
      <c r="B137" s="17"/>
      <c r="C137" s="17"/>
      <c r="D137" s="18"/>
      <c r="E137" s="17"/>
      <c r="F137" s="13"/>
      <c r="G137" s="14"/>
      <c r="H137" s="19" t="str">
        <f aca="false">IFERROR((F137/D137)*(1+G137),"")</f>
        <v/>
      </c>
      <c r="I137" s="17"/>
      <c r="J137" s="17"/>
    </row>
    <row r="138" customFormat="false" ht="15" hidden="false" customHeight="true" outlineLevel="0" collapsed="false">
      <c r="A138" s="17"/>
      <c r="B138" s="17"/>
      <c r="C138" s="17"/>
      <c r="D138" s="18"/>
      <c r="E138" s="17"/>
      <c r="F138" s="13"/>
      <c r="G138" s="14"/>
      <c r="H138" s="19" t="str">
        <f aca="false">IFERROR((F138/D138)*(1+G138),"")</f>
        <v/>
      </c>
      <c r="I138" s="17"/>
      <c r="J138" s="17"/>
    </row>
    <row r="139" customFormat="false" ht="15" hidden="false" customHeight="true" outlineLevel="0" collapsed="false">
      <c r="A139" s="17"/>
      <c r="B139" s="17"/>
      <c r="C139" s="17"/>
      <c r="D139" s="18"/>
      <c r="E139" s="17"/>
      <c r="F139" s="13"/>
      <c r="G139" s="14"/>
      <c r="H139" s="19" t="str">
        <f aca="false">IFERROR((F139/D139)*(1+G139),"")</f>
        <v/>
      </c>
      <c r="I139" s="17"/>
      <c r="J139" s="17"/>
    </row>
    <row r="140" customFormat="false" ht="15" hidden="false" customHeight="true" outlineLevel="0" collapsed="false">
      <c r="A140" s="17"/>
      <c r="B140" s="17"/>
      <c r="C140" s="17"/>
      <c r="D140" s="18"/>
      <c r="E140" s="17"/>
      <c r="F140" s="13"/>
      <c r="G140" s="14"/>
      <c r="H140" s="19" t="str">
        <f aca="false">IFERROR((F140/D140)*(1+G140),"")</f>
        <v/>
      </c>
      <c r="I140" s="17"/>
      <c r="J140" s="17"/>
    </row>
    <row r="141" customFormat="false" ht="15" hidden="false" customHeight="true" outlineLevel="0" collapsed="false">
      <c r="A141" s="17"/>
      <c r="B141" s="17"/>
      <c r="C141" s="17"/>
      <c r="D141" s="18"/>
      <c r="E141" s="17"/>
      <c r="F141" s="13"/>
      <c r="G141" s="14"/>
      <c r="H141" s="19" t="str">
        <f aca="false">IFERROR((F141/D141)*(1+G141),"")</f>
        <v/>
      </c>
      <c r="I141" s="17"/>
      <c r="J141" s="17"/>
    </row>
    <row r="142" customFormat="false" ht="15" hidden="false" customHeight="true" outlineLevel="0" collapsed="false">
      <c r="A142" s="17"/>
      <c r="B142" s="17"/>
      <c r="C142" s="17"/>
      <c r="D142" s="18"/>
      <c r="E142" s="17"/>
      <c r="F142" s="13"/>
      <c r="G142" s="14"/>
      <c r="H142" s="19" t="str">
        <f aca="false">IFERROR((F142/D142)*(1+G142),"")</f>
        <v/>
      </c>
      <c r="I142" s="17"/>
      <c r="J142" s="17"/>
    </row>
    <row r="143" customFormat="false" ht="15" hidden="false" customHeight="true" outlineLevel="0" collapsed="false">
      <c r="A143" s="17"/>
      <c r="B143" s="17"/>
      <c r="C143" s="17"/>
      <c r="D143" s="18"/>
      <c r="E143" s="17"/>
      <c r="F143" s="13"/>
      <c r="G143" s="14"/>
      <c r="H143" s="19" t="str">
        <f aca="false">IFERROR((F143/D143)*(1+G143),"")</f>
        <v/>
      </c>
      <c r="I143" s="17"/>
      <c r="J143" s="17"/>
    </row>
    <row r="144" customFormat="false" ht="15" hidden="false" customHeight="true" outlineLevel="0" collapsed="false">
      <c r="A144" s="17"/>
      <c r="B144" s="17"/>
      <c r="C144" s="17"/>
      <c r="D144" s="18"/>
      <c r="E144" s="17"/>
      <c r="F144" s="13"/>
      <c r="G144" s="14"/>
      <c r="H144" s="19" t="str">
        <f aca="false">IFERROR((F144/D144)*(1+G144),"")</f>
        <v/>
      </c>
      <c r="I144" s="17"/>
      <c r="J144" s="17"/>
    </row>
    <row r="145" customFormat="false" ht="15" hidden="false" customHeight="true" outlineLevel="0" collapsed="false">
      <c r="A145" s="17"/>
      <c r="B145" s="17"/>
      <c r="C145" s="17"/>
      <c r="D145" s="18"/>
      <c r="E145" s="17"/>
      <c r="F145" s="13"/>
      <c r="G145" s="14"/>
      <c r="H145" s="19" t="str">
        <f aca="false">IFERROR((F145/D145)*(1+G145),"")</f>
        <v/>
      </c>
      <c r="I145" s="17"/>
      <c r="J145" s="17"/>
    </row>
    <row r="146" customFormat="false" ht="15" hidden="false" customHeight="true" outlineLevel="0" collapsed="false">
      <c r="A146" s="17"/>
      <c r="B146" s="17"/>
      <c r="C146" s="17"/>
      <c r="D146" s="18"/>
      <c r="E146" s="17"/>
      <c r="F146" s="13"/>
      <c r="G146" s="14"/>
      <c r="H146" s="19" t="str">
        <f aca="false">IFERROR((F146/D146)*(1+G146),"")</f>
        <v/>
      </c>
      <c r="I146" s="17"/>
      <c r="J146" s="17"/>
    </row>
    <row r="147" customFormat="false" ht="15" hidden="false" customHeight="true" outlineLevel="0" collapsed="false">
      <c r="A147" s="17"/>
      <c r="B147" s="17"/>
      <c r="C147" s="17"/>
      <c r="D147" s="18"/>
      <c r="E147" s="17"/>
      <c r="F147" s="13"/>
      <c r="G147" s="14"/>
      <c r="H147" s="19" t="str">
        <f aca="false">IFERROR((F147/D147)*(1+G147),"")</f>
        <v/>
      </c>
      <c r="I147" s="17"/>
      <c r="J147" s="17"/>
    </row>
    <row r="148" customFormat="false" ht="15" hidden="false" customHeight="true" outlineLevel="0" collapsed="false">
      <c r="A148" s="17"/>
      <c r="B148" s="17"/>
      <c r="C148" s="17"/>
      <c r="D148" s="18"/>
      <c r="E148" s="17"/>
      <c r="F148" s="13"/>
      <c r="G148" s="14"/>
      <c r="H148" s="19" t="str">
        <f aca="false">IFERROR((F148/D148)*(1+G148),"")</f>
        <v/>
      </c>
      <c r="I148" s="17"/>
      <c r="J148" s="17"/>
    </row>
    <row r="149" customFormat="false" ht="15" hidden="false" customHeight="true" outlineLevel="0" collapsed="false">
      <c r="A149" s="17"/>
      <c r="B149" s="17"/>
      <c r="C149" s="17"/>
      <c r="D149" s="18"/>
      <c r="E149" s="17"/>
      <c r="F149" s="13"/>
      <c r="G149" s="14"/>
      <c r="H149" s="19" t="str">
        <f aca="false">IFERROR((F149/D149)*(1+G149),"")</f>
        <v/>
      </c>
      <c r="I149" s="17"/>
      <c r="J149" s="17"/>
    </row>
    <row r="150" customFormat="false" ht="15" hidden="false" customHeight="true" outlineLevel="0" collapsed="false">
      <c r="A150" s="17"/>
      <c r="B150" s="17"/>
      <c r="C150" s="17"/>
      <c r="D150" s="18"/>
      <c r="E150" s="17"/>
      <c r="F150" s="13"/>
      <c r="G150" s="14"/>
      <c r="H150" s="19" t="str">
        <f aca="false">IFERROR((F150/D150)*(1+G150),"")</f>
        <v/>
      </c>
      <c r="I150" s="17"/>
      <c r="J150" s="17"/>
    </row>
    <row r="151" customFormat="false" ht="15" hidden="false" customHeight="true" outlineLevel="0" collapsed="false">
      <c r="A151" s="17"/>
      <c r="B151" s="17"/>
      <c r="C151" s="17"/>
      <c r="D151" s="18"/>
      <c r="E151" s="17"/>
      <c r="F151" s="13"/>
      <c r="G151" s="14"/>
      <c r="H151" s="19" t="str">
        <f aca="false">IFERROR((F151/D151)*(1+G151),"")</f>
        <v/>
      </c>
      <c r="I151" s="17"/>
      <c r="J151" s="17"/>
    </row>
    <row r="152" customFormat="false" ht="15" hidden="false" customHeight="true" outlineLevel="0" collapsed="false">
      <c r="A152" s="17"/>
      <c r="B152" s="17"/>
      <c r="C152" s="17"/>
      <c r="D152" s="18"/>
      <c r="E152" s="17"/>
      <c r="F152" s="13"/>
      <c r="G152" s="14"/>
      <c r="H152" s="19" t="str">
        <f aca="false">IFERROR((F152/D152)*(1+G152),"")</f>
        <v/>
      </c>
      <c r="I152" s="17"/>
      <c r="J152" s="17"/>
    </row>
    <row r="153" customFormat="false" ht="15" hidden="false" customHeight="true" outlineLevel="0" collapsed="false">
      <c r="A153" s="17"/>
      <c r="B153" s="17"/>
      <c r="C153" s="17"/>
      <c r="D153" s="18"/>
      <c r="E153" s="17"/>
      <c r="F153" s="13"/>
      <c r="G153" s="14"/>
      <c r="H153" s="19" t="str">
        <f aca="false">IFERROR((F153/D153)*(1+G153),"")</f>
        <v/>
      </c>
      <c r="I153" s="17"/>
      <c r="J153" s="17"/>
    </row>
    <row r="154" customFormat="false" ht="15" hidden="false" customHeight="true" outlineLevel="0" collapsed="false">
      <c r="A154" s="17"/>
      <c r="B154" s="17"/>
      <c r="C154" s="17"/>
      <c r="D154" s="18"/>
      <c r="E154" s="17"/>
      <c r="F154" s="13"/>
      <c r="G154" s="14"/>
      <c r="H154" s="19" t="str">
        <f aca="false">IFERROR((F154/D154)*(1+G154),"")</f>
        <v/>
      </c>
      <c r="I154" s="17"/>
      <c r="J154" s="17"/>
    </row>
    <row r="155" customFormat="false" ht="15" hidden="false" customHeight="true" outlineLevel="0" collapsed="false">
      <c r="A155" s="17"/>
      <c r="B155" s="17"/>
      <c r="C155" s="17"/>
      <c r="D155" s="18"/>
      <c r="E155" s="17"/>
      <c r="F155" s="13"/>
      <c r="G155" s="14"/>
      <c r="H155" s="19" t="str">
        <f aca="false">IFERROR((F155/D155)*(1+G155),"")</f>
        <v/>
      </c>
      <c r="I155" s="17"/>
      <c r="J155" s="17"/>
    </row>
    <row r="156" customFormat="false" ht="15" hidden="false" customHeight="true" outlineLevel="0" collapsed="false">
      <c r="A156" s="17"/>
      <c r="B156" s="17"/>
      <c r="C156" s="17"/>
      <c r="D156" s="18"/>
      <c r="E156" s="17"/>
      <c r="F156" s="13"/>
      <c r="G156" s="14"/>
      <c r="H156" s="19" t="str">
        <f aca="false">IFERROR((F156/D156)*(1+G156),"")</f>
        <v/>
      </c>
      <c r="I156" s="17"/>
      <c r="J156" s="17"/>
    </row>
    <row r="157" customFormat="false" ht="15" hidden="false" customHeight="true" outlineLevel="0" collapsed="false">
      <c r="A157" s="17"/>
      <c r="B157" s="17"/>
      <c r="C157" s="17"/>
      <c r="D157" s="18"/>
      <c r="E157" s="17"/>
      <c r="F157" s="13"/>
      <c r="G157" s="14"/>
      <c r="H157" s="19" t="str">
        <f aca="false">IFERROR((F157/D157)*(1+G157),"")</f>
        <v/>
      </c>
      <c r="I157" s="17"/>
      <c r="J157" s="17"/>
    </row>
    <row r="158" customFormat="false" ht="15" hidden="false" customHeight="true" outlineLevel="0" collapsed="false">
      <c r="A158" s="17"/>
      <c r="B158" s="17"/>
      <c r="C158" s="17"/>
      <c r="D158" s="18"/>
      <c r="E158" s="17"/>
      <c r="F158" s="13"/>
      <c r="G158" s="14"/>
      <c r="H158" s="19" t="str">
        <f aca="false">IFERROR((F158/D158)*(1+G158),"")</f>
        <v/>
      </c>
      <c r="I158" s="17"/>
      <c r="J158" s="17"/>
    </row>
    <row r="159" customFormat="false" ht="15" hidden="false" customHeight="true" outlineLevel="0" collapsed="false">
      <c r="A159" s="17"/>
      <c r="B159" s="17"/>
      <c r="C159" s="17"/>
      <c r="D159" s="18"/>
      <c r="E159" s="17"/>
      <c r="F159" s="13"/>
      <c r="G159" s="14"/>
      <c r="H159" s="19" t="str">
        <f aca="false">IFERROR((F159/D159)*(1+G159),"")</f>
        <v/>
      </c>
      <c r="I159" s="17"/>
      <c r="J159" s="17"/>
    </row>
    <row r="160" customFormat="false" ht="15" hidden="false" customHeight="true" outlineLevel="0" collapsed="false">
      <c r="A160" s="17"/>
      <c r="B160" s="17"/>
      <c r="C160" s="17"/>
      <c r="D160" s="18"/>
      <c r="E160" s="17"/>
      <c r="F160" s="13"/>
      <c r="G160" s="14"/>
      <c r="H160" s="19" t="str">
        <f aca="false">IFERROR((F160/D160)*(1+G160),"")</f>
        <v/>
      </c>
      <c r="I160" s="17"/>
      <c r="J160" s="17"/>
    </row>
    <row r="161" customFormat="false" ht="15" hidden="false" customHeight="true" outlineLevel="0" collapsed="false">
      <c r="A161" s="17"/>
      <c r="B161" s="17"/>
      <c r="C161" s="17"/>
      <c r="D161" s="18"/>
      <c r="E161" s="17"/>
      <c r="F161" s="13"/>
      <c r="G161" s="14"/>
      <c r="H161" s="19" t="str">
        <f aca="false">IFERROR((F161/D161)*(1+G161),"")</f>
        <v/>
      </c>
      <c r="I161" s="17"/>
      <c r="J161" s="17"/>
    </row>
    <row r="162" customFormat="false" ht="15" hidden="false" customHeight="true" outlineLevel="0" collapsed="false">
      <c r="A162" s="17"/>
      <c r="B162" s="17"/>
      <c r="C162" s="17"/>
      <c r="D162" s="18"/>
      <c r="E162" s="17"/>
      <c r="F162" s="13"/>
      <c r="G162" s="14"/>
      <c r="H162" s="19" t="str">
        <f aca="false">IFERROR((F162/D162)*(1+G162),"")</f>
        <v/>
      </c>
      <c r="I162" s="17"/>
      <c r="J162" s="17"/>
    </row>
    <row r="163" customFormat="false" ht="15" hidden="false" customHeight="true" outlineLevel="0" collapsed="false">
      <c r="A163" s="17"/>
      <c r="B163" s="17"/>
      <c r="C163" s="17"/>
      <c r="D163" s="18"/>
      <c r="E163" s="17"/>
      <c r="F163" s="13"/>
      <c r="G163" s="14"/>
      <c r="H163" s="19" t="str">
        <f aca="false">IFERROR((F163/D163)*(1+G163),"")</f>
        <v/>
      </c>
      <c r="I163" s="17"/>
      <c r="J163" s="17"/>
    </row>
    <row r="164" customFormat="false" ht="15" hidden="false" customHeight="true" outlineLevel="0" collapsed="false">
      <c r="A164" s="17"/>
      <c r="B164" s="17"/>
      <c r="C164" s="17"/>
      <c r="D164" s="18"/>
      <c r="E164" s="17"/>
      <c r="F164" s="13"/>
      <c r="G164" s="14"/>
      <c r="H164" s="19" t="str">
        <f aca="false">IFERROR((F164/D164)*(1+G164),"")</f>
        <v/>
      </c>
      <c r="I164" s="17"/>
      <c r="J164" s="17"/>
    </row>
    <row r="165" customFormat="false" ht="15" hidden="false" customHeight="true" outlineLevel="0" collapsed="false">
      <c r="A165" s="17"/>
      <c r="B165" s="17"/>
      <c r="C165" s="17"/>
      <c r="D165" s="18"/>
      <c r="E165" s="17"/>
      <c r="F165" s="13"/>
      <c r="G165" s="14"/>
      <c r="H165" s="19" t="str">
        <f aca="false">IFERROR((F165/D165)*(1+G165),"")</f>
        <v/>
      </c>
      <c r="I165" s="17"/>
      <c r="J165" s="17"/>
    </row>
    <row r="166" customFormat="false" ht="15" hidden="false" customHeight="true" outlineLevel="0" collapsed="false">
      <c r="A166" s="17"/>
      <c r="B166" s="17"/>
      <c r="C166" s="17"/>
      <c r="D166" s="18"/>
      <c r="E166" s="17"/>
      <c r="F166" s="13"/>
      <c r="G166" s="14"/>
      <c r="H166" s="19" t="str">
        <f aca="false">IFERROR((F166/D166)*(1+G166),"")</f>
        <v/>
      </c>
      <c r="I166" s="17"/>
      <c r="J166" s="17"/>
    </row>
    <row r="167" customFormat="false" ht="15" hidden="false" customHeight="true" outlineLevel="0" collapsed="false">
      <c r="A167" s="17"/>
      <c r="B167" s="17"/>
      <c r="C167" s="17"/>
      <c r="D167" s="18"/>
      <c r="E167" s="17"/>
      <c r="F167" s="13"/>
      <c r="G167" s="14"/>
      <c r="H167" s="19" t="str">
        <f aca="false">IFERROR((F167/D167)*(1+G167),"")</f>
        <v/>
      </c>
      <c r="I167" s="17"/>
      <c r="J167" s="17"/>
    </row>
    <row r="168" customFormat="false" ht="15" hidden="false" customHeight="true" outlineLevel="0" collapsed="false">
      <c r="A168" s="17"/>
      <c r="B168" s="17"/>
      <c r="C168" s="17"/>
      <c r="D168" s="18"/>
      <c r="E168" s="17"/>
      <c r="F168" s="13"/>
      <c r="G168" s="14"/>
      <c r="H168" s="19" t="str">
        <f aca="false">IFERROR((F168/D168)*(1+G168),"")</f>
        <v/>
      </c>
      <c r="I168" s="17"/>
      <c r="J168" s="17"/>
    </row>
    <row r="169" customFormat="false" ht="15" hidden="false" customHeight="true" outlineLevel="0" collapsed="false">
      <c r="A169" s="17"/>
      <c r="B169" s="17"/>
      <c r="C169" s="17"/>
      <c r="D169" s="18"/>
      <c r="E169" s="17"/>
      <c r="F169" s="13"/>
      <c r="G169" s="14"/>
      <c r="H169" s="19" t="str">
        <f aca="false">IFERROR((F169/D169)*(1+G169),"")</f>
        <v/>
      </c>
      <c r="I169" s="17"/>
      <c r="J169" s="17"/>
    </row>
    <row r="170" customFormat="false" ht="15" hidden="false" customHeight="true" outlineLevel="0" collapsed="false">
      <c r="A170" s="17"/>
      <c r="B170" s="17"/>
      <c r="C170" s="17"/>
      <c r="D170" s="18"/>
      <c r="E170" s="17"/>
      <c r="F170" s="13"/>
      <c r="G170" s="14"/>
      <c r="H170" s="19" t="str">
        <f aca="false">IFERROR((F170/D170)*(1+G170),"")</f>
        <v/>
      </c>
      <c r="I170" s="17"/>
      <c r="J170" s="17"/>
    </row>
    <row r="171" customFormat="false" ht="15" hidden="false" customHeight="true" outlineLevel="0" collapsed="false">
      <c r="A171" s="17"/>
      <c r="B171" s="17"/>
      <c r="C171" s="17"/>
      <c r="D171" s="18"/>
      <c r="E171" s="17"/>
      <c r="F171" s="13"/>
      <c r="G171" s="14"/>
      <c r="H171" s="19" t="str">
        <f aca="false">IFERROR((F171/D171)*(1+G171),"")</f>
        <v/>
      </c>
      <c r="I171" s="17"/>
      <c r="J171" s="17"/>
    </row>
    <row r="172" customFormat="false" ht="15" hidden="false" customHeight="true" outlineLevel="0" collapsed="false">
      <c r="A172" s="17"/>
      <c r="B172" s="17"/>
      <c r="C172" s="17"/>
      <c r="D172" s="18"/>
      <c r="E172" s="17"/>
      <c r="F172" s="13"/>
      <c r="G172" s="14"/>
      <c r="H172" s="19" t="str">
        <f aca="false">IFERROR((F172/D172)*(1+G172),"")</f>
        <v/>
      </c>
      <c r="I172" s="17"/>
      <c r="J172" s="17"/>
    </row>
    <row r="173" customFormat="false" ht="15" hidden="false" customHeight="true" outlineLevel="0" collapsed="false">
      <c r="A173" s="17"/>
      <c r="B173" s="17"/>
      <c r="C173" s="17"/>
      <c r="D173" s="18"/>
      <c r="E173" s="17"/>
      <c r="F173" s="13"/>
      <c r="G173" s="14"/>
      <c r="H173" s="19" t="str">
        <f aca="false">IFERROR((F173/D173)*(1+G173),"")</f>
        <v/>
      </c>
      <c r="I173" s="17"/>
      <c r="J173" s="17"/>
    </row>
    <row r="174" customFormat="false" ht="15" hidden="false" customHeight="true" outlineLevel="0" collapsed="false">
      <c r="A174" s="17"/>
      <c r="B174" s="17"/>
      <c r="C174" s="17"/>
      <c r="D174" s="18"/>
      <c r="E174" s="17"/>
      <c r="F174" s="13"/>
      <c r="G174" s="14"/>
      <c r="H174" s="19" t="str">
        <f aca="false">IFERROR((F174/D174)*(1+G174),"")</f>
        <v/>
      </c>
      <c r="I174" s="17"/>
      <c r="J174" s="17"/>
    </row>
    <row r="175" customFormat="false" ht="15" hidden="false" customHeight="true" outlineLevel="0" collapsed="false">
      <c r="A175" s="17"/>
      <c r="B175" s="17"/>
      <c r="C175" s="17"/>
      <c r="D175" s="18"/>
      <c r="E175" s="17"/>
      <c r="F175" s="13"/>
      <c r="G175" s="14"/>
      <c r="H175" s="19" t="str">
        <f aca="false">IFERROR((F175/D175)*(1+G175),"")</f>
        <v/>
      </c>
      <c r="I175" s="17"/>
      <c r="J175" s="17"/>
    </row>
    <row r="176" customFormat="false" ht="15" hidden="false" customHeight="true" outlineLevel="0" collapsed="false">
      <c r="A176" s="17"/>
      <c r="B176" s="17"/>
      <c r="C176" s="17"/>
      <c r="D176" s="18"/>
      <c r="E176" s="17"/>
      <c r="F176" s="13"/>
      <c r="G176" s="14"/>
      <c r="H176" s="19" t="str">
        <f aca="false">IFERROR((F176/D176)*(1+G176),"")</f>
        <v/>
      </c>
      <c r="I176" s="17"/>
      <c r="J176" s="17"/>
    </row>
    <row r="177" customFormat="false" ht="15" hidden="false" customHeight="true" outlineLevel="0" collapsed="false">
      <c r="A177" s="17"/>
      <c r="B177" s="17"/>
      <c r="C177" s="17"/>
      <c r="D177" s="18"/>
      <c r="E177" s="17"/>
      <c r="F177" s="13"/>
      <c r="G177" s="14"/>
      <c r="H177" s="19" t="str">
        <f aca="false">IFERROR((F177/D177)*(1+G177),"")</f>
        <v/>
      </c>
      <c r="I177" s="17"/>
      <c r="J177" s="17"/>
    </row>
    <row r="178" customFormat="false" ht="15" hidden="false" customHeight="true" outlineLevel="0" collapsed="false">
      <c r="A178" s="17"/>
      <c r="B178" s="17"/>
      <c r="C178" s="17"/>
      <c r="D178" s="18"/>
      <c r="E178" s="17"/>
      <c r="F178" s="13"/>
      <c r="G178" s="14"/>
      <c r="H178" s="19" t="str">
        <f aca="false">IFERROR((F178/D178)*(1+G178),"")</f>
        <v/>
      </c>
      <c r="I178" s="17"/>
      <c r="J178" s="17"/>
    </row>
    <row r="179" customFormat="false" ht="15" hidden="false" customHeight="true" outlineLevel="0" collapsed="false">
      <c r="A179" s="17"/>
      <c r="B179" s="17"/>
      <c r="C179" s="17"/>
      <c r="D179" s="18"/>
      <c r="E179" s="17"/>
      <c r="F179" s="13"/>
      <c r="G179" s="14"/>
      <c r="H179" s="19" t="str">
        <f aca="false">IFERROR((F179/D179)*(1+G179),"")</f>
        <v/>
      </c>
      <c r="I179" s="17"/>
      <c r="J179" s="17"/>
    </row>
    <row r="180" customFormat="false" ht="15" hidden="false" customHeight="true" outlineLevel="0" collapsed="false">
      <c r="A180" s="17"/>
      <c r="B180" s="17"/>
      <c r="C180" s="17"/>
      <c r="D180" s="18"/>
      <c r="E180" s="17"/>
      <c r="F180" s="13"/>
      <c r="G180" s="14"/>
      <c r="H180" s="19" t="str">
        <f aca="false">IFERROR((F180/D180)*(1+G180),"")</f>
        <v/>
      </c>
      <c r="I180" s="17"/>
      <c r="J180" s="17"/>
    </row>
    <row r="181" customFormat="false" ht="15" hidden="false" customHeight="true" outlineLevel="0" collapsed="false">
      <c r="A181" s="17"/>
      <c r="B181" s="17"/>
      <c r="C181" s="17"/>
      <c r="D181" s="18"/>
      <c r="E181" s="17"/>
      <c r="F181" s="13"/>
      <c r="G181" s="14"/>
      <c r="H181" s="19" t="str">
        <f aca="false">IFERROR((F181/D181)*(1+G181),"")</f>
        <v/>
      </c>
      <c r="I181" s="17"/>
      <c r="J181" s="17"/>
    </row>
    <row r="182" customFormat="false" ht="15" hidden="false" customHeight="true" outlineLevel="0" collapsed="false">
      <c r="A182" s="17"/>
      <c r="B182" s="17"/>
      <c r="C182" s="17"/>
      <c r="D182" s="18"/>
      <c r="E182" s="17"/>
      <c r="F182" s="13"/>
      <c r="G182" s="14"/>
      <c r="H182" s="19" t="str">
        <f aca="false">IFERROR((F182/D182)*(1+G182),"")</f>
        <v/>
      </c>
      <c r="I182" s="17"/>
      <c r="J182" s="17"/>
    </row>
    <row r="183" customFormat="false" ht="15" hidden="false" customHeight="true" outlineLevel="0" collapsed="false">
      <c r="A183" s="17"/>
      <c r="B183" s="17"/>
      <c r="C183" s="17"/>
      <c r="D183" s="18"/>
      <c r="E183" s="17"/>
      <c r="F183" s="13"/>
      <c r="G183" s="14"/>
      <c r="H183" s="19" t="str">
        <f aca="false">IFERROR((F183/D183)*(1+G183),"")</f>
        <v/>
      </c>
      <c r="I183" s="17"/>
      <c r="J183" s="17"/>
    </row>
    <row r="184" customFormat="false" ht="15" hidden="false" customHeight="true" outlineLevel="0" collapsed="false">
      <c r="A184" s="17"/>
      <c r="B184" s="17"/>
      <c r="C184" s="17"/>
      <c r="D184" s="18"/>
      <c r="E184" s="17"/>
      <c r="F184" s="13"/>
      <c r="G184" s="14"/>
      <c r="H184" s="19" t="str">
        <f aca="false">IFERROR((F184/D184)*(1+G184),"")</f>
        <v/>
      </c>
      <c r="I184" s="17"/>
      <c r="J184" s="17"/>
    </row>
    <row r="185" customFormat="false" ht="15" hidden="false" customHeight="true" outlineLevel="0" collapsed="false">
      <c r="A185" s="17"/>
      <c r="B185" s="17"/>
      <c r="C185" s="17"/>
      <c r="D185" s="18"/>
      <c r="E185" s="17"/>
      <c r="F185" s="13"/>
      <c r="G185" s="14"/>
      <c r="H185" s="19" t="str">
        <f aca="false">IFERROR((F185/D185)*(1+G185),"")</f>
        <v/>
      </c>
      <c r="I185" s="17"/>
      <c r="J185" s="17"/>
    </row>
    <row r="186" customFormat="false" ht="15" hidden="false" customHeight="true" outlineLevel="0" collapsed="false">
      <c r="A186" s="17"/>
      <c r="B186" s="17"/>
      <c r="C186" s="17"/>
      <c r="D186" s="18"/>
      <c r="E186" s="17"/>
      <c r="F186" s="13"/>
      <c r="G186" s="14"/>
      <c r="H186" s="19" t="str">
        <f aca="false">IFERROR((F186/D186)*(1+G186),"")</f>
        <v/>
      </c>
      <c r="I186" s="17"/>
      <c r="J186" s="17"/>
    </row>
    <row r="187" customFormat="false" ht="15" hidden="false" customHeight="true" outlineLevel="0" collapsed="false">
      <c r="A187" s="17"/>
      <c r="B187" s="17"/>
      <c r="C187" s="17"/>
      <c r="D187" s="18"/>
      <c r="E187" s="17"/>
      <c r="F187" s="13"/>
      <c r="G187" s="14"/>
      <c r="H187" s="19" t="str">
        <f aca="false">IFERROR((F187/D187)*(1+G187),"")</f>
        <v/>
      </c>
      <c r="I187" s="17"/>
      <c r="J187" s="17"/>
    </row>
    <row r="188" customFormat="false" ht="15" hidden="false" customHeight="true" outlineLevel="0" collapsed="false">
      <c r="A188" s="17"/>
      <c r="B188" s="17"/>
      <c r="C188" s="17"/>
      <c r="D188" s="18"/>
      <c r="E188" s="17"/>
      <c r="F188" s="13"/>
      <c r="G188" s="14"/>
      <c r="H188" s="19" t="str">
        <f aca="false">IFERROR((F188/D188)*(1+G188),"")</f>
        <v/>
      </c>
      <c r="I188" s="17"/>
      <c r="J188" s="17"/>
    </row>
    <row r="189" customFormat="false" ht="15" hidden="false" customHeight="true" outlineLevel="0" collapsed="false">
      <c r="A189" s="17"/>
      <c r="B189" s="17"/>
      <c r="C189" s="17"/>
      <c r="D189" s="18"/>
      <c r="E189" s="17"/>
      <c r="F189" s="13"/>
      <c r="G189" s="14"/>
      <c r="H189" s="19" t="str">
        <f aca="false">IFERROR((F189/D189)*(1+G189),"")</f>
        <v/>
      </c>
      <c r="I189" s="17"/>
      <c r="J189" s="17"/>
    </row>
    <row r="190" customFormat="false" ht="15" hidden="false" customHeight="true" outlineLevel="0" collapsed="false">
      <c r="A190" s="17"/>
      <c r="B190" s="17"/>
      <c r="C190" s="17"/>
      <c r="D190" s="18"/>
      <c r="E190" s="17"/>
      <c r="F190" s="13"/>
      <c r="G190" s="14"/>
      <c r="H190" s="19" t="str">
        <f aca="false">IFERROR((F190/D190)*(1+G190),"")</f>
        <v/>
      </c>
      <c r="I190" s="17"/>
      <c r="J190" s="17"/>
    </row>
    <row r="191" customFormat="false" ht="15" hidden="false" customHeight="true" outlineLevel="0" collapsed="false">
      <c r="A191" s="17"/>
      <c r="B191" s="17"/>
      <c r="C191" s="17"/>
      <c r="D191" s="18"/>
      <c r="E191" s="17"/>
      <c r="F191" s="13"/>
      <c r="G191" s="14"/>
      <c r="H191" s="19" t="str">
        <f aca="false">IFERROR((F191/D191)*(1+G191),"")</f>
        <v/>
      </c>
      <c r="I191" s="17"/>
      <c r="J191" s="17"/>
    </row>
    <row r="192" customFormat="false" ht="15" hidden="false" customHeight="true" outlineLevel="0" collapsed="false">
      <c r="A192" s="17"/>
      <c r="B192" s="17"/>
      <c r="C192" s="17"/>
      <c r="D192" s="18"/>
      <c r="E192" s="17"/>
      <c r="F192" s="13"/>
      <c r="G192" s="14"/>
      <c r="H192" s="19" t="str">
        <f aca="false">IFERROR((F192/D192)*(1+G192),"")</f>
        <v/>
      </c>
      <c r="I192" s="17"/>
      <c r="J192" s="17"/>
    </row>
    <row r="193" customFormat="false" ht="15" hidden="false" customHeight="true" outlineLevel="0" collapsed="false">
      <c r="A193" s="17"/>
      <c r="B193" s="17"/>
      <c r="C193" s="17"/>
      <c r="D193" s="18"/>
      <c r="E193" s="17"/>
      <c r="F193" s="13"/>
      <c r="G193" s="14"/>
      <c r="H193" s="19" t="str">
        <f aca="false">IFERROR((F193/D193)*(1+G193),"")</f>
        <v/>
      </c>
      <c r="I193" s="17"/>
      <c r="J193" s="17"/>
    </row>
    <row r="194" customFormat="false" ht="15" hidden="false" customHeight="true" outlineLevel="0" collapsed="false">
      <c r="A194" s="17"/>
      <c r="B194" s="17"/>
      <c r="C194" s="17"/>
      <c r="D194" s="18"/>
      <c r="E194" s="17"/>
      <c r="F194" s="13"/>
      <c r="G194" s="14"/>
      <c r="H194" s="19" t="str">
        <f aca="false">IFERROR((F194/D194)*(1+G194),"")</f>
        <v/>
      </c>
      <c r="I194" s="17"/>
      <c r="J194" s="17"/>
    </row>
    <row r="195" customFormat="false" ht="15" hidden="false" customHeight="true" outlineLevel="0" collapsed="false">
      <c r="A195" s="17"/>
      <c r="B195" s="17"/>
      <c r="C195" s="17"/>
      <c r="D195" s="18"/>
      <c r="E195" s="17"/>
      <c r="F195" s="13"/>
      <c r="G195" s="14"/>
      <c r="H195" s="19" t="str">
        <f aca="false">IFERROR((F195/D195)*(1+G195),"")</f>
        <v/>
      </c>
      <c r="I195" s="17"/>
      <c r="J195" s="17"/>
    </row>
    <row r="196" customFormat="false" ht="15" hidden="false" customHeight="true" outlineLevel="0" collapsed="false">
      <c r="A196" s="17"/>
      <c r="B196" s="17"/>
      <c r="C196" s="17"/>
      <c r="D196" s="18"/>
      <c r="E196" s="17"/>
      <c r="F196" s="13"/>
      <c r="G196" s="14"/>
      <c r="H196" s="19" t="str">
        <f aca="false">IFERROR((F196/D196)*(1+G196),"")</f>
        <v/>
      </c>
      <c r="I196" s="17"/>
      <c r="J196" s="17"/>
    </row>
    <row r="197" customFormat="false" ht="15" hidden="false" customHeight="true" outlineLevel="0" collapsed="false">
      <c r="A197" s="17"/>
      <c r="B197" s="17"/>
      <c r="C197" s="17"/>
      <c r="D197" s="18"/>
      <c r="E197" s="17"/>
      <c r="F197" s="13"/>
      <c r="G197" s="14"/>
      <c r="H197" s="19" t="str">
        <f aca="false">IFERROR((F197/D197)*(1+G197),"")</f>
        <v/>
      </c>
      <c r="I197" s="17"/>
      <c r="J197" s="17"/>
    </row>
    <row r="198" customFormat="false" ht="15" hidden="false" customHeight="true" outlineLevel="0" collapsed="false">
      <c r="A198" s="17"/>
      <c r="B198" s="17"/>
      <c r="C198" s="17"/>
      <c r="D198" s="18"/>
      <c r="E198" s="17"/>
      <c r="F198" s="13"/>
      <c r="G198" s="14"/>
      <c r="H198" s="19" t="str">
        <f aca="false">IFERROR((F198/D198)*(1+G198),"")</f>
        <v/>
      </c>
      <c r="I198" s="17"/>
      <c r="J198" s="17"/>
    </row>
    <row r="199" customFormat="false" ht="15" hidden="false" customHeight="true" outlineLevel="0" collapsed="false">
      <c r="A199" s="17"/>
      <c r="B199" s="17"/>
      <c r="C199" s="17"/>
      <c r="D199" s="18"/>
      <c r="E199" s="17"/>
      <c r="F199" s="13"/>
      <c r="G199" s="14"/>
      <c r="H199" s="19" t="str">
        <f aca="false">IFERROR((F199/D199)*(1+G199),"")</f>
        <v/>
      </c>
      <c r="I199" s="17"/>
      <c r="J199" s="17"/>
    </row>
    <row r="200" customFormat="false" ht="15" hidden="false" customHeight="true" outlineLevel="0" collapsed="false">
      <c r="A200" s="17"/>
      <c r="B200" s="17"/>
      <c r="C200" s="17"/>
      <c r="D200" s="18"/>
      <c r="E200" s="17"/>
      <c r="F200" s="13"/>
      <c r="G200" s="14"/>
      <c r="H200" s="19" t="str">
        <f aca="false">IFERROR((F200/D200)*(1+G200),"")</f>
        <v/>
      </c>
      <c r="I200" s="17"/>
      <c r="J200" s="17"/>
    </row>
    <row r="201" customFormat="false" ht="15" hidden="false" customHeight="true" outlineLevel="0" collapsed="false">
      <c r="A201" s="17"/>
      <c r="B201" s="17"/>
      <c r="C201" s="17"/>
      <c r="D201" s="18"/>
      <c r="E201" s="17"/>
      <c r="F201" s="13"/>
      <c r="G201" s="14"/>
      <c r="H201" s="19" t="str">
        <f aca="false">IFERROR((F201/D201)*(1+G201),"")</f>
        <v/>
      </c>
      <c r="I201" s="17"/>
      <c r="J201" s="17"/>
    </row>
    <row r="202" customFormat="false" ht="15" hidden="false" customHeight="true" outlineLevel="0" collapsed="false">
      <c r="A202" s="17"/>
      <c r="B202" s="17"/>
      <c r="C202" s="17"/>
      <c r="D202" s="18"/>
      <c r="E202" s="17"/>
      <c r="F202" s="13"/>
      <c r="G202" s="14"/>
      <c r="H202" s="19" t="str">
        <f aca="false">IFERROR((F202/D202)*(1+G202),"")</f>
        <v/>
      </c>
      <c r="I202" s="17"/>
      <c r="J202" s="17"/>
    </row>
    <row r="203" customFormat="false" ht="15" hidden="false" customHeight="true" outlineLevel="0" collapsed="false">
      <c r="A203" s="17"/>
      <c r="B203" s="17"/>
      <c r="C203" s="17"/>
      <c r="D203" s="18"/>
      <c r="E203" s="17"/>
      <c r="F203" s="13"/>
      <c r="G203" s="14"/>
      <c r="H203" s="19" t="str">
        <f aca="false">IFERROR((F203/D203)*(1+G203),"")</f>
        <v/>
      </c>
      <c r="I203" s="17"/>
      <c r="J203" s="17"/>
    </row>
    <row r="204" customFormat="false" ht="15" hidden="false" customHeight="true" outlineLevel="0" collapsed="false">
      <c r="A204" s="17"/>
      <c r="B204" s="17"/>
      <c r="C204" s="17"/>
      <c r="D204" s="18"/>
      <c r="E204" s="17"/>
      <c r="F204" s="13"/>
      <c r="G204" s="14"/>
      <c r="H204" s="19" t="str">
        <f aca="false">IFERROR((F204/D204)*(1+G204),"")</f>
        <v/>
      </c>
      <c r="I204" s="17"/>
      <c r="J204" s="17"/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fals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H20" activeCellId="0" sqref="H20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6.48"/>
    <col collapsed="false" customWidth="true" hidden="false" outlineLevel="0" max="2" min="2" style="1" width="16.15"/>
    <col collapsed="false" customWidth="true" hidden="false" outlineLevel="0" max="3" min="3" style="1" width="15.51"/>
    <col collapsed="false" customWidth="true" hidden="false" outlineLevel="0" max="4" min="4" style="1" width="16.37"/>
    <col collapsed="false" customWidth="true" hidden="false" outlineLevel="0" max="5" min="5" style="1" width="23.53"/>
    <col collapsed="false" customWidth="true" hidden="false" outlineLevel="0" max="6" min="6" style="1" width="12"/>
    <col collapsed="false" customWidth="true" hidden="false" outlineLevel="0" max="7" min="7" style="1" width="12.36"/>
    <col collapsed="false" customWidth="true" hidden="false" outlineLevel="0" max="8" min="8" style="1" width="16"/>
    <col collapsed="false" customWidth="true" hidden="false" outlineLevel="0" max="9" min="9" style="1" width="4"/>
    <col collapsed="false" customWidth="true" hidden="false" outlineLevel="0" max="10" min="10" style="1" width="18"/>
    <col collapsed="false" customWidth="true" hidden="false" outlineLevel="0" max="11" min="11" style="1" width="23.85"/>
    <col collapsed="false" customWidth="true" hidden="false" outlineLevel="0" max="12" min="12" style="1" width="14"/>
    <col collapsed="false" customWidth="true" hidden="false" outlineLevel="0" max="14" min="13" style="1" width="10"/>
  </cols>
  <sheetData>
    <row r="1" customFormat="false" ht="27.75" hidden="false" customHeight="true" outlineLevel="0" collapsed="false">
      <c r="A1" s="2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3" t="s">
        <v>81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4" t="s">
        <v>82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true" outlineLevel="0" collapsed="false">
      <c r="A5" s="10" t="s">
        <v>83</v>
      </c>
      <c r="B5" s="20" t="s">
        <v>84</v>
      </c>
      <c r="D5" s="10" t="s">
        <v>85</v>
      </c>
      <c r="E5" s="20" t="s">
        <v>86</v>
      </c>
    </row>
    <row r="6" customFormat="false" ht="15" hidden="false" customHeight="true" outlineLevel="0" collapsed="false">
      <c r="A6" s="10" t="s">
        <v>87</v>
      </c>
      <c r="B6" s="20"/>
      <c r="D6" s="10" t="s">
        <v>88</v>
      </c>
      <c r="E6" s="20" t="s">
        <v>89</v>
      </c>
    </row>
    <row r="7" customFormat="false" ht="15" hidden="false" customHeight="true" outlineLevel="0" collapsed="false">
      <c r="A7" s="10" t="s">
        <v>90</v>
      </c>
      <c r="B7" s="20" t="n">
        <v>5</v>
      </c>
      <c r="D7" s="10" t="s">
        <v>91</v>
      </c>
      <c r="E7" s="20" t="s">
        <v>92</v>
      </c>
    </row>
    <row r="9" customFormat="false" ht="15" hidden="false" customHeight="true" outlineLevel="0" collapsed="false">
      <c r="A9" s="4" t="s">
        <v>93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15" hidden="false" customHeight="true" outlineLevel="0" collapsed="false">
      <c r="A10" s="10" t="s">
        <v>94</v>
      </c>
      <c r="B10" s="13" t="n">
        <v>20</v>
      </c>
      <c r="C10" s="10" t="s">
        <v>95</v>
      </c>
      <c r="D10" s="21" t="n">
        <v>2</v>
      </c>
      <c r="E10" s="10" t="s">
        <v>96</v>
      </c>
      <c r="F10" s="18" t="n">
        <v>15</v>
      </c>
      <c r="G10" s="10" t="s">
        <v>97</v>
      </c>
      <c r="H10" s="13" t="n">
        <v>1500</v>
      </c>
    </row>
    <row r="11" customFormat="false" ht="15" hidden="false" customHeight="true" outlineLevel="0" collapsed="false">
      <c r="A11" s="10" t="s">
        <v>98</v>
      </c>
      <c r="B11" s="13" t="n">
        <f aca="false">Setup!B9</f>
        <v>0</v>
      </c>
      <c r="C11" s="10" t="s">
        <v>99</v>
      </c>
      <c r="D11" s="14" t="n">
        <f aca="false">Setup!B8</f>
        <v>0.35</v>
      </c>
    </row>
    <row r="13" customFormat="false" ht="15" hidden="false" customHeight="true" outlineLevel="0" collapsed="false">
      <c r="A13" s="4" t="s">
        <v>100</v>
      </c>
      <c r="B13" s="4"/>
      <c r="C13" s="4"/>
      <c r="D13" s="4"/>
      <c r="E13" s="4"/>
      <c r="F13" s="4"/>
      <c r="G13" s="4"/>
      <c r="H13" s="4"/>
      <c r="J13" s="4" t="s">
        <v>101</v>
      </c>
      <c r="K13" s="4"/>
      <c r="L13" s="4"/>
      <c r="M13" s="4"/>
      <c r="N13" s="4"/>
    </row>
    <row r="14" customFormat="false" ht="15" hidden="false" customHeight="true" outlineLevel="0" collapsed="false">
      <c r="A14" s="16" t="s">
        <v>102</v>
      </c>
      <c r="B14" s="16" t="s">
        <v>40</v>
      </c>
      <c r="C14" s="16" t="s">
        <v>103</v>
      </c>
      <c r="D14" s="16" t="s">
        <v>104</v>
      </c>
      <c r="E14" s="22" t="s">
        <v>105</v>
      </c>
      <c r="F14" s="16" t="s">
        <v>106</v>
      </c>
      <c r="G14" s="16" t="s">
        <v>49</v>
      </c>
    </row>
    <row r="15" customFormat="false" ht="15" hidden="false" customHeight="true" outlineLevel="0" collapsed="false">
      <c r="A15" s="23" t="n">
        <v>1</v>
      </c>
      <c r="B15" s="20" t="s">
        <v>50</v>
      </c>
      <c r="C15" s="24" t="str">
        <f aca="false">IFERROR(VLOOKUP(B15,Ingredients!$A$5:$H$204,5,FALSE()),"")</f>
        <v>g</v>
      </c>
      <c r="D15" s="21" t="n">
        <v>500</v>
      </c>
      <c r="E15" s="19" t="n">
        <f aca="false">IFERROR(VLOOKUP(B15,Ingredients!$A$5:$H$204,8,FALSE()),"")</f>
        <v>0.08</v>
      </c>
      <c r="F15" s="19" t="n">
        <f aca="false">IF(OR(B15="",D15=""),"",D15*E15*$B$7)</f>
        <v>200</v>
      </c>
      <c r="G15" s="17"/>
      <c r="K15" s="10" t="s">
        <v>107</v>
      </c>
      <c r="L15" s="19" t="n">
        <f aca="false">SUM(F15:F39)</f>
        <v>1812.5</v>
      </c>
    </row>
    <row r="16" customFormat="false" ht="15" hidden="false" customHeight="true" outlineLevel="0" collapsed="false">
      <c r="A16" s="23" t="n">
        <v>2</v>
      </c>
      <c r="B16" s="20" t="s">
        <v>64</v>
      </c>
      <c r="C16" s="24" t="str">
        <f aca="false">IFERROR(VLOOKUP(B16,Ingredients!$A$5:$H$204,5,FALSE()),"")</f>
        <v>ml</v>
      </c>
      <c r="D16" s="21" t="n">
        <v>500</v>
      </c>
      <c r="E16" s="19" t="n">
        <f aca="false">IFERROR(VLOOKUP(B16,Ingredients!$A$5:$H$204,8,FALSE()),"")</f>
        <v>0.245</v>
      </c>
      <c r="F16" s="19" t="n">
        <f aca="false">IF(OR(B16="",D16=""),"",D16*E16*$B$7)</f>
        <v>612.5</v>
      </c>
      <c r="G16" s="17"/>
      <c r="K16" s="10" t="s">
        <v>108</v>
      </c>
      <c r="L16" s="19" t="n">
        <f aca="false">B10</f>
        <v>20</v>
      </c>
    </row>
    <row r="17" customFormat="false" ht="15" hidden="false" customHeight="true" outlineLevel="0" collapsed="false">
      <c r="A17" s="23" t="n">
        <v>3</v>
      </c>
      <c r="B17" s="20" t="s">
        <v>60</v>
      </c>
      <c r="C17" s="24" t="str">
        <f aca="false">IFERROR(VLOOKUP(B17,Ingredients!$A$5:$H$204,5,FALSE()),"")</f>
        <v>pcs</v>
      </c>
      <c r="D17" s="21" t="n">
        <v>12</v>
      </c>
      <c r="E17" s="19" t="n">
        <f aca="false">IFERROR(VLOOKUP(B17,Ingredients!$A$5:$H$204,8,FALSE()),"")</f>
        <v>9.58333333333333</v>
      </c>
      <c r="F17" s="19" t="n">
        <f aca="false">IF(OR(B17="",D17=""),"",D17*E17*$B$7)</f>
        <v>575</v>
      </c>
      <c r="G17" s="17"/>
      <c r="K17" s="10" t="s">
        <v>109</v>
      </c>
      <c r="L17" s="19" t="n">
        <f aca="false">D10*Setup!B6</f>
        <v>200</v>
      </c>
    </row>
    <row r="18" customFormat="false" ht="15" hidden="false" customHeight="true" outlineLevel="0" collapsed="false">
      <c r="A18" s="23" t="n">
        <v>4</v>
      </c>
      <c r="B18" s="20" t="s">
        <v>67</v>
      </c>
      <c r="C18" s="24" t="str">
        <f aca="false">IFERROR(VLOOKUP(B18,Ingredients!$A$5:$H$204,5,FALSE()),"")</f>
        <v>ml</v>
      </c>
      <c r="D18" s="21" t="n">
        <v>50</v>
      </c>
      <c r="E18" s="19" t="n">
        <f aca="false">IFERROR(VLOOKUP(B18,Ingredients!$A$5:$H$204,8,FALSE()),"")</f>
        <v>0.5</v>
      </c>
      <c r="F18" s="19" t="n">
        <f aca="false">IF(OR(B18="",D18=""),"",D18*E18*$B$7)</f>
        <v>125</v>
      </c>
      <c r="G18" s="17"/>
      <c r="K18" s="10" t="s">
        <v>110</v>
      </c>
      <c r="L18" s="19" t="n">
        <f aca="false">F10*Setup!B7</f>
        <v>45</v>
      </c>
    </row>
    <row r="19" customFormat="false" ht="15" hidden="false" customHeight="true" outlineLevel="0" collapsed="false">
      <c r="A19" s="23" t="n">
        <v>5</v>
      </c>
      <c r="B19" s="20" t="s">
        <v>74</v>
      </c>
      <c r="C19" s="24" t="str">
        <f aca="false">IFERROR(VLOOKUP(B19,Ingredients!$A$5:$H$204,5,FALSE()),"")</f>
        <v>g</v>
      </c>
      <c r="D19" s="21" t="n">
        <v>100</v>
      </c>
      <c r="E19" s="19" t="n">
        <f aca="false">IFERROR(VLOOKUP(B19,Ingredients!$A$5:$H$204,8,FALSE()),"")</f>
        <v>0.6</v>
      </c>
      <c r="F19" s="19" t="n">
        <f aca="false">IF(OR(B19="",D19=""),"",D19*E19*$B$7)</f>
        <v>300</v>
      </c>
      <c r="G19" s="17"/>
      <c r="K19" s="10" t="s">
        <v>98</v>
      </c>
      <c r="L19" s="19" t="n">
        <f aca="false">B11</f>
        <v>0</v>
      </c>
    </row>
    <row r="20" customFormat="false" ht="15" hidden="false" customHeight="true" outlineLevel="0" collapsed="false">
      <c r="A20" s="23" t="n">
        <v>6</v>
      </c>
      <c r="B20" s="20"/>
      <c r="C20" s="24" t="str">
        <f aca="false">IFERROR(VLOOKUP(B20,Ingredients!$A$5:$H$204,5,FALSE()),"")</f>
        <v/>
      </c>
      <c r="D20" s="21"/>
      <c r="E20" s="19" t="str">
        <f aca="false">IFERROR(VLOOKUP(B20,Ingredients!$A$5:$H$204,8,FALSE()),"")</f>
        <v/>
      </c>
      <c r="F20" s="19" t="str">
        <f aca="false">IF(OR(B20="",D20=""),"",D20*E20*$B$7)</f>
        <v/>
      </c>
      <c r="G20" s="17"/>
      <c r="K20" s="25" t="s">
        <v>111</v>
      </c>
      <c r="L20" s="26" t="n">
        <f aca="false">SUM(L15:L19)</f>
        <v>2077.5</v>
      </c>
    </row>
    <row r="21" customFormat="false" ht="15" hidden="false" customHeight="true" outlineLevel="0" collapsed="false">
      <c r="A21" s="23" t="n">
        <v>7</v>
      </c>
      <c r="B21" s="20"/>
      <c r="C21" s="24" t="str">
        <f aca="false">IFERROR(VLOOKUP(B21,Ingredients!$A$5:$H$204,5,FALSE()),"")</f>
        <v/>
      </c>
      <c r="D21" s="21"/>
      <c r="E21" s="19" t="str">
        <f aca="false">IFERROR(VLOOKUP(B21,Ingredients!$A$5:$H$204,8,FALSE()),"")</f>
        <v/>
      </c>
      <c r="F21" s="19" t="str">
        <f aca="false">IF(OR(B21="",D21=""),"",D21*E21*$B$7)</f>
        <v/>
      </c>
      <c r="G21" s="17"/>
      <c r="K21" s="10" t="s">
        <v>99</v>
      </c>
      <c r="L21" s="27" t="n">
        <f aca="false">D11</f>
        <v>0.35</v>
      </c>
    </row>
    <row r="22" customFormat="false" ht="15" hidden="false" customHeight="true" outlineLevel="0" collapsed="false">
      <c r="A22" s="23" t="n">
        <v>8</v>
      </c>
      <c r="B22" s="20"/>
      <c r="C22" s="24" t="str">
        <f aca="false">IFERROR(VLOOKUP(B22,Ingredients!$A$5:$H$204,5,FALSE()),"")</f>
        <v/>
      </c>
      <c r="D22" s="21"/>
      <c r="E22" s="19" t="str">
        <f aca="false">IFERROR(VLOOKUP(B22,Ingredients!$A$5:$H$204,8,FALSE()),"")</f>
        <v/>
      </c>
      <c r="F22" s="19" t="str">
        <f aca="false">IF(OR(B22="",D22=""),"",D22*E22*$B$7)</f>
        <v/>
      </c>
      <c r="G22" s="17"/>
      <c r="K22" s="10" t="s">
        <v>112</v>
      </c>
      <c r="L22" s="19" t="n">
        <f aca="false">IF(L20="","",L20/(1-L21))</f>
        <v>3196.15384615385</v>
      </c>
    </row>
    <row r="23" customFormat="false" ht="15" hidden="false" customHeight="true" outlineLevel="0" collapsed="false">
      <c r="A23" s="23" t="n">
        <v>9</v>
      </c>
      <c r="B23" s="20"/>
      <c r="C23" s="24" t="str">
        <f aca="false">IFERROR(VLOOKUP(B23,Ingredients!$A$5:$H$204,5,FALSE()),"")</f>
        <v/>
      </c>
      <c r="D23" s="21"/>
      <c r="E23" s="19" t="str">
        <f aca="false">IFERROR(VLOOKUP(B23,Ingredients!$A$5:$H$204,8,FALSE()),"")</f>
        <v/>
      </c>
      <c r="F23" s="19" t="str">
        <f aca="false">IF(OR(B23="",D23=""),"",D23*E23*$B$7)</f>
        <v/>
      </c>
      <c r="G23" s="17"/>
      <c r="K23" s="25" t="s">
        <v>113</v>
      </c>
      <c r="L23" s="26" t="n">
        <f aca="false">IF(L22="","",ROUNDUP(L22/Setup!B10,0)*Setup!B10)</f>
        <v>3200</v>
      </c>
    </row>
    <row r="24" customFormat="false" ht="15" hidden="false" customHeight="true" outlineLevel="0" collapsed="false">
      <c r="A24" s="23" t="n">
        <v>10</v>
      </c>
      <c r="B24" s="20"/>
      <c r="C24" s="24" t="str">
        <f aca="false">IFERROR(VLOOKUP(B24,Ingredients!$A$5:$H$204,5,FALSE()),"")</f>
        <v/>
      </c>
      <c r="D24" s="21"/>
      <c r="E24" s="19" t="str">
        <f aca="false">IFERROR(VLOOKUP(B24,Ingredients!$A$5:$H$204,8,FALSE()),"")</f>
        <v/>
      </c>
      <c r="F24" s="19" t="str">
        <f aca="false">IF(OR(B24="",D24=""),"",D24*E24*$B$7)</f>
        <v/>
      </c>
      <c r="G24" s="17"/>
      <c r="K24" s="10" t="s">
        <v>114</v>
      </c>
      <c r="L24" s="19" t="n">
        <f aca="false">IF(H10="","",H10-L20)</f>
        <v>-577.5</v>
      </c>
    </row>
    <row r="25" customFormat="false" ht="15" hidden="false" customHeight="true" outlineLevel="0" collapsed="false">
      <c r="A25" s="23" t="n">
        <v>11</v>
      </c>
      <c r="B25" s="20"/>
      <c r="C25" s="24" t="str">
        <f aca="false">IFERROR(VLOOKUP(B25,Ingredients!$A$5:$H$204,5,FALSE()),"")</f>
        <v/>
      </c>
      <c r="D25" s="21"/>
      <c r="E25" s="19" t="str">
        <f aca="false">IFERROR(VLOOKUP(B25,Ingredients!$A$5:$H$204,8,FALSE()),"")</f>
        <v/>
      </c>
      <c r="F25" s="19" t="str">
        <f aca="false">IF(OR(B25="",D25=""),"",D25*E25*$B$7)</f>
        <v/>
      </c>
      <c r="G25" s="17"/>
      <c r="K25" s="10" t="s">
        <v>115</v>
      </c>
      <c r="L25" s="27" t="n">
        <f aca="false">IF(H10="","",IF(H10&gt;0,L24/H10,""))</f>
        <v>-0.385</v>
      </c>
    </row>
    <row r="26" customFormat="false" ht="15" hidden="false" customHeight="true" outlineLevel="0" collapsed="false">
      <c r="A26" s="23" t="n">
        <v>12</v>
      </c>
      <c r="B26" s="20"/>
      <c r="C26" s="24" t="str">
        <f aca="false">IFERROR(VLOOKUP(B26,Ingredients!$A$5:$H$204,5,FALSE()),"")</f>
        <v/>
      </c>
      <c r="D26" s="21"/>
      <c r="E26" s="19" t="str">
        <f aca="false">IFERROR(VLOOKUP(B26,Ingredients!$A$5:$H$204,8,FALSE()),"")</f>
        <v/>
      </c>
      <c r="F26" s="19" t="str">
        <f aca="false">IF(OR(B26="",D26=""),"",D26*E26*$B$7)</f>
        <v/>
      </c>
      <c r="G26" s="17"/>
    </row>
    <row r="27" customFormat="false" ht="15" hidden="false" customHeight="true" outlineLevel="0" collapsed="false">
      <c r="A27" s="23" t="n">
        <v>13</v>
      </c>
      <c r="B27" s="20"/>
      <c r="C27" s="24" t="str">
        <f aca="false">IFERROR(VLOOKUP(B27,Ingredients!$A$5:$H$204,5,FALSE()),"")</f>
        <v/>
      </c>
      <c r="D27" s="21"/>
      <c r="E27" s="19" t="str">
        <f aca="false">IFERROR(VLOOKUP(B27,Ingredients!$A$5:$H$204,8,FALSE()),"")</f>
        <v/>
      </c>
      <c r="F27" s="19" t="str">
        <f aca="false">IF(OR(B27="",D27=""),"",D27*E27*$B$7)</f>
        <v/>
      </c>
      <c r="G27" s="17"/>
      <c r="J27" s="28" t="s">
        <v>116</v>
      </c>
      <c r="K27" s="28"/>
      <c r="L27" s="28"/>
      <c r="M27" s="28"/>
      <c r="N27" s="28"/>
    </row>
    <row r="28" customFormat="false" ht="15" hidden="false" customHeight="true" outlineLevel="0" collapsed="false">
      <c r="A28" s="23" t="n">
        <v>14</v>
      </c>
      <c r="B28" s="20"/>
      <c r="C28" s="24" t="str">
        <f aca="false">IFERROR(VLOOKUP(B28,Ingredients!$A$5:$H$204,5,FALSE()),"")</f>
        <v/>
      </c>
      <c r="D28" s="21"/>
      <c r="E28" s="19" t="str">
        <f aca="false">IFERROR(VLOOKUP(B28,Ingredients!$A$5:$H$204,8,FALSE()),"")</f>
        <v/>
      </c>
      <c r="F28" s="19" t="str">
        <f aca="false">IF(OR(B28="",D28=""),"",D28*E28*$B$7)</f>
        <v/>
      </c>
      <c r="G28" s="17"/>
      <c r="J28" s="28"/>
      <c r="K28" s="28"/>
      <c r="L28" s="28"/>
      <c r="M28" s="28"/>
      <c r="N28" s="28"/>
    </row>
    <row r="29" customFormat="false" ht="15" hidden="false" customHeight="true" outlineLevel="0" collapsed="false">
      <c r="A29" s="23" t="n">
        <v>15</v>
      </c>
      <c r="B29" s="20"/>
      <c r="C29" s="24" t="str">
        <f aca="false">IFERROR(VLOOKUP(B29,Ingredients!$A$5:$H$204,5,FALSE()),"")</f>
        <v/>
      </c>
      <c r="D29" s="21"/>
      <c r="E29" s="19" t="str">
        <f aca="false">IFERROR(VLOOKUP(B29,Ingredients!$A$5:$H$204,8,FALSE()),"")</f>
        <v/>
      </c>
      <c r="F29" s="19" t="str">
        <f aca="false">IF(OR(B29="",D29=""),"",D29*E29*$B$7)</f>
        <v/>
      </c>
      <c r="G29" s="17"/>
      <c r="J29" s="28"/>
      <c r="K29" s="28"/>
      <c r="L29" s="28"/>
      <c r="M29" s="28"/>
      <c r="N29" s="28"/>
    </row>
    <row r="30" customFormat="false" ht="15" hidden="false" customHeight="true" outlineLevel="0" collapsed="false">
      <c r="A30" s="23" t="n">
        <v>16</v>
      </c>
      <c r="B30" s="20"/>
      <c r="C30" s="24" t="str">
        <f aca="false">IFERROR(VLOOKUP(B30,Ingredients!$A$5:$H$204,5,FALSE()),"")</f>
        <v/>
      </c>
      <c r="D30" s="21"/>
      <c r="E30" s="19" t="str">
        <f aca="false">IFERROR(VLOOKUP(B30,Ingredients!$A$5:$H$204,8,FALSE()),"")</f>
        <v/>
      </c>
      <c r="F30" s="19" t="str">
        <f aca="false">IF(OR(B30="",D30=""),"",D30*E30*$B$7)</f>
        <v/>
      </c>
      <c r="G30" s="17"/>
      <c r="J30" s="28"/>
      <c r="K30" s="28"/>
      <c r="L30" s="28"/>
      <c r="M30" s="28"/>
      <c r="N30" s="28"/>
    </row>
    <row r="31" customFormat="false" ht="15" hidden="false" customHeight="true" outlineLevel="0" collapsed="false">
      <c r="A31" s="23" t="n">
        <v>17</v>
      </c>
      <c r="B31" s="20"/>
      <c r="C31" s="24" t="str">
        <f aca="false">IFERROR(VLOOKUP(B31,Ingredients!$A$5:$H$204,5,FALSE()),"")</f>
        <v/>
      </c>
      <c r="D31" s="21"/>
      <c r="E31" s="19" t="str">
        <f aca="false">IFERROR(VLOOKUP(B31,Ingredients!$A$5:$H$204,8,FALSE()),"")</f>
        <v/>
      </c>
      <c r="F31" s="19" t="str">
        <f aca="false">IF(OR(B31="",D31=""),"",D31*E31*$B$7)</f>
        <v/>
      </c>
      <c r="G31" s="17"/>
    </row>
    <row r="32" customFormat="false" ht="15" hidden="false" customHeight="true" outlineLevel="0" collapsed="false">
      <c r="A32" s="23" t="n">
        <v>18</v>
      </c>
      <c r="B32" s="20"/>
      <c r="C32" s="24" t="str">
        <f aca="false">IFERROR(VLOOKUP(B32,Ingredients!$A$5:$H$204,5,FALSE()),"")</f>
        <v/>
      </c>
      <c r="D32" s="21"/>
      <c r="E32" s="19" t="str">
        <f aca="false">IFERROR(VLOOKUP(B32,Ingredients!$A$5:$H$204,8,FALSE()),"")</f>
        <v/>
      </c>
      <c r="F32" s="19" t="str">
        <f aca="false">IF(OR(B32="",D32=""),"",D32*E32*$B$7)</f>
        <v/>
      </c>
      <c r="G32" s="17"/>
    </row>
    <row r="33" customFormat="false" ht="15" hidden="false" customHeight="true" outlineLevel="0" collapsed="false">
      <c r="A33" s="23" t="n">
        <v>19</v>
      </c>
      <c r="B33" s="20"/>
      <c r="C33" s="24" t="str">
        <f aca="false">IFERROR(VLOOKUP(B33,Ingredients!$A$5:$H$204,5,FALSE()),"")</f>
        <v/>
      </c>
      <c r="D33" s="21"/>
      <c r="E33" s="19" t="str">
        <f aca="false">IFERROR(VLOOKUP(B33,Ingredients!$A$5:$H$204,8,FALSE()),"")</f>
        <v/>
      </c>
      <c r="F33" s="19" t="str">
        <f aca="false">IF(OR(B33="",D33=""),"",D33*E33*$B$7)</f>
        <v/>
      </c>
      <c r="G33" s="17"/>
    </row>
    <row r="34" customFormat="false" ht="15" hidden="false" customHeight="true" outlineLevel="0" collapsed="false">
      <c r="A34" s="23" t="n">
        <v>20</v>
      </c>
      <c r="B34" s="20"/>
      <c r="C34" s="24" t="str">
        <f aca="false">IFERROR(VLOOKUP(B34,Ingredients!$A$5:$H$204,5,FALSE()),"")</f>
        <v/>
      </c>
      <c r="D34" s="21"/>
      <c r="E34" s="19" t="str">
        <f aca="false">IFERROR(VLOOKUP(B34,Ingredients!$A$5:$H$204,8,FALSE()),"")</f>
        <v/>
      </c>
      <c r="F34" s="19" t="str">
        <f aca="false">IF(OR(B34="",D34=""),"",D34*E34*$B$7)</f>
        <v/>
      </c>
      <c r="G34" s="17"/>
    </row>
    <row r="35" customFormat="false" ht="15" hidden="false" customHeight="true" outlineLevel="0" collapsed="false">
      <c r="A35" s="23" t="n">
        <v>21</v>
      </c>
      <c r="B35" s="20"/>
      <c r="C35" s="24" t="str">
        <f aca="false">IFERROR(VLOOKUP(B35,Ingredients!$A$5:$H$204,5,FALSE()),"")</f>
        <v/>
      </c>
      <c r="D35" s="21"/>
      <c r="E35" s="19" t="str">
        <f aca="false">IFERROR(VLOOKUP(B35,Ingredients!$A$5:$H$204,8,FALSE()),"")</f>
        <v/>
      </c>
      <c r="F35" s="19" t="str">
        <f aca="false">IF(OR(B35="",D35=""),"",D35*E35*$B$7)</f>
        <v/>
      </c>
      <c r="G35" s="17"/>
    </row>
    <row r="36" customFormat="false" ht="15" hidden="false" customHeight="true" outlineLevel="0" collapsed="false">
      <c r="A36" s="23" t="n">
        <v>22</v>
      </c>
      <c r="B36" s="20"/>
      <c r="C36" s="24" t="str">
        <f aca="false">IFERROR(VLOOKUP(B36,Ingredients!$A$5:$H$204,5,FALSE()),"")</f>
        <v/>
      </c>
      <c r="D36" s="21"/>
      <c r="E36" s="19" t="str">
        <f aca="false">IFERROR(VLOOKUP(B36,Ingredients!$A$5:$H$204,8,FALSE()),"")</f>
        <v/>
      </c>
      <c r="F36" s="19" t="str">
        <f aca="false">IF(OR(B36="",D36=""),"",D36*E36*$B$7)</f>
        <v/>
      </c>
      <c r="G36" s="17"/>
    </row>
    <row r="37" customFormat="false" ht="15" hidden="false" customHeight="true" outlineLevel="0" collapsed="false">
      <c r="A37" s="23" t="n">
        <v>23</v>
      </c>
      <c r="B37" s="20"/>
      <c r="C37" s="24" t="str">
        <f aca="false">IFERROR(VLOOKUP(B37,Ingredients!$A$5:$H$204,5,FALSE()),"")</f>
        <v/>
      </c>
      <c r="D37" s="21"/>
      <c r="E37" s="19" t="str">
        <f aca="false">IFERROR(VLOOKUP(B37,Ingredients!$A$5:$H$204,8,FALSE()),"")</f>
        <v/>
      </c>
      <c r="F37" s="19" t="str">
        <f aca="false">IF(OR(B37="",D37=""),"",D37*E37*$B$7)</f>
        <v/>
      </c>
      <c r="G37" s="17"/>
    </row>
    <row r="38" customFormat="false" ht="15" hidden="false" customHeight="true" outlineLevel="0" collapsed="false">
      <c r="A38" s="23" t="n">
        <v>24</v>
      </c>
      <c r="B38" s="20"/>
      <c r="C38" s="24" t="str">
        <f aca="false">IFERROR(VLOOKUP(B38,Ingredients!$A$5:$H$204,5,FALSE()),"")</f>
        <v/>
      </c>
      <c r="D38" s="21"/>
      <c r="E38" s="19" t="str">
        <f aca="false">IFERROR(VLOOKUP(B38,Ingredients!$A$5:$H$204,8,FALSE()),"")</f>
        <v/>
      </c>
      <c r="F38" s="19" t="str">
        <f aca="false">IF(OR(B38="",D38=""),"",D38*E38*$B$7)</f>
        <v/>
      </c>
      <c r="G38" s="17"/>
    </row>
    <row r="39" customFormat="false" ht="15" hidden="false" customHeight="true" outlineLevel="0" collapsed="false">
      <c r="A39" s="23" t="n">
        <v>25</v>
      </c>
      <c r="B39" s="20"/>
      <c r="C39" s="24" t="str">
        <f aca="false">IFERROR(VLOOKUP(B39,Ingredients!$A$5:$H$204,5,FALSE()),"")</f>
        <v/>
      </c>
      <c r="D39" s="21"/>
      <c r="E39" s="19" t="str">
        <f aca="false">IFERROR(VLOOKUP(B39,Ingredients!$A$5:$H$204,8,FALSE()),"")</f>
        <v/>
      </c>
      <c r="F39" s="19" t="str">
        <f aca="false">IF(OR(B39="",D39=""),"",D39*E39*$B$7)</f>
        <v/>
      </c>
      <c r="G39" s="17"/>
    </row>
  </sheetData>
  <mergeCells count="7">
    <mergeCell ref="A1:N1"/>
    <mergeCell ref="A2:N2"/>
    <mergeCell ref="A4:N4"/>
    <mergeCell ref="A9:N9"/>
    <mergeCell ref="A13:H13"/>
    <mergeCell ref="J13:N13"/>
    <mergeCell ref="J27:N30"/>
  </mergeCells>
  <conditionalFormatting sqref="A15:G39">
    <cfRule type="expression" priority="2" aboveAverage="0" equalAverage="0" bottom="0" percent="0" rank="0" text="" dxfId="6">
      <formula>AND($B15&lt;&gt;"",$E15="")</formula>
    </cfRule>
  </conditionalFormatting>
  <dataValidations count="1">
    <dataValidation allowBlank="true" errorStyle="stop" operator="between" showDropDown="false" showErrorMessage="false" showInputMessage="false" sqref="B15:B39" type="list">
      <formula1>Ingredients!$A$5:$A$204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42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5" min="5" style="1" width="8"/>
    <col collapsed="false" customWidth="true" hidden="false" outlineLevel="0" max="7" min="6" style="1" width="22.98"/>
    <col collapsed="false" customWidth="true" hidden="false" outlineLevel="0" max="9" min="8" style="1" width="14"/>
    <col collapsed="false" customWidth="true" hidden="false" outlineLevel="0" max="10" min="10" style="1" width="14.85"/>
    <col collapsed="false" customWidth="true" hidden="false" outlineLevel="0" max="11" min="11" style="1" width="12"/>
    <col collapsed="false" customWidth="true" hidden="false" outlineLevel="0" max="12" min="12" style="1" width="20"/>
  </cols>
  <sheetData>
    <row r="1" customFormat="false" ht="27.75" hidden="false" customHeight="true" outlineLevel="0" collapsed="false">
      <c r="A1" s="2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3" t="s">
        <v>118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16" t="s">
        <v>119</v>
      </c>
      <c r="B4" s="16" t="s">
        <v>83</v>
      </c>
      <c r="C4" s="16" t="s">
        <v>85</v>
      </c>
      <c r="D4" s="16" t="s">
        <v>120</v>
      </c>
      <c r="E4" s="16" t="s">
        <v>121</v>
      </c>
      <c r="F4" s="16" t="s">
        <v>122</v>
      </c>
      <c r="G4" s="16" t="s">
        <v>123</v>
      </c>
      <c r="H4" s="16" t="s">
        <v>124</v>
      </c>
      <c r="I4" s="16" t="s">
        <v>125</v>
      </c>
      <c r="J4" s="16" t="s">
        <v>126</v>
      </c>
      <c r="K4" s="16" t="s">
        <v>127</v>
      </c>
      <c r="L4" s="16" t="s">
        <v>49</v>
      </c>
    </row>
    <row r="5" customFormat="false" ht="15" hidden="false" customHeight="true" outlineLevel="0" collapsed="false">
      <c r="A5" s="29" t="n">
        <f aca="true">TODAY()</f>
        <v>46089</v>
      </c>
      <c r="B5" s="20" t="str">
        <f aca="false">Order_Costing!B5</f>
        <v>Q-001</v>
      </c>
      <c r="C5" s="20" t="str">
        <f aca="false">Order_Costing!E5</f>
        <v>Rahul</v>
      </c>
      <c r="D5" s="20" t="str">
        <f aca="false">Order_Costing!E6</f>
        <v>Napoliten – Eid</v>
      </c>
      <c r="E5" s="18" t="n">
        <f aca="false">Order_Costing!B7</f>
        <v>5</v>
      </c>
      <c r="F5" s="19" t="n">
        <f aca="false">Order_Costing!L20</f>
        <v>2077.5</v>
      </c>
      <c r="G5" s="13" t="n">
        <f aca="false">Order_Costing!L23</f>
        <v>3200</v>
      </c>
      <c r="H5" s="13" t="n">
        <f aca="false">Order_Costing!H10</f>
        <v>1500</v>
      </c>
      <c r="I5" s="19" t="n">
        <f aca="false">IF(H5="","",H5-F5)</f>
        <v>-577.5</v>
      </c>
      <c r="J5" s="30" t="n">
        <f aca="false">IF(H5="","",IF(H5&gt;0,I5/H5,""))</f>
        <v>-0.385</v>
      </c>
      <c r="K5" s="20" t="s">
        <v>128</v>
      </c>
      <c r="L5" s="20" t="s">
        <v>129</v>
      </c>
    </row>
    <row r="6" customFormat="false" ht="15" hidden="false" customHeight="true" outlineLevel="0" collapsed="false">
      <c r="A6" s="20"/>
      <c r="B6" s="20"/>
      <c r="C6" s="20"/>
      <c r="D6" s="20"/>
      <c r="E6" s="18"/>
      <c r="F6" s="19"/>
      <c r="G6" s="13"/>
      <c r="H6" s="13"/>
      <c r="I6" s="19" t="str">
        <f aca="false">IF(H6="","",H6-F6)</f>
        <v/>
      </c>
      <c r="J6" s="30" t="str">
        <f aca="false">IF(H6="","",IF(H6&gt;0,I6/H6,""))</f>
        <v/>
      </c>
      <c r="K6" s="20"/>
      <c r="L6" s="20"/>
    </row>
    <row r="7" customFormat="false" ht="15" hidden="false" customHeight="true" outlineLevel="0" collapsed="false">
      <c r="A7" s="20"/>
      <c r="B7" s="20"/>
      <c r="C7" s="20"/>
      <c r="D7" s="20"/>
      <c r="E7" s="18"/>
      <c r="F7" s="19"/>
      <c r="G7" s="13"/>
      <c r="H7" s="13"/>
      <c r="I7" s="19" t="str">
        <f aca="false">IF(H7="","",H7-F7)</f>
        <v/>
      </c>
      <c r="J7" s="30" t="str">
        <f aca="false">IF(H7="","",IF(H7&gt;0,I7/H7,""))</f>
        <v/>
      </c>
      <c r="K7" s="20"/>
      <c r="L7" s="20"/>
    </row>
    <row r="8" customFormat="false" ht="15" hidden="false" customHeight="true" outlineLevel="0" collapsed="false">
      <c r="A8" s="20"/>
      <c r="B8" s="20"/>
      <c r="C8" s="20"/>
      <c r="D8" s="20"/>
      <c r="E8" s="18"/>
      <c r="F8" s="19"/>
      <c r="G8" s="13"/>
      <c r="H8" s="13"/>
      <c r="I8" s="19" t="str">
        <f aca="false">IF(H8="","",H8-F8)</f>
        <v/>
      </c>
      <c r="J8" s="30" t="str">
        <f aca="false">IF(H8="","",IF(H8&gt;0,I8/H8,""))</f>
        <v/>
      </c>
      <c r="K8" s="20"/>
      <c r="L8" s="20"/>
    </row>
    <row r="9" customFormat="false" ht="15" hidden="false" customHeight="true" outlineLevel="0" collapsed="false">
      <c r="A9" s="20"/>
      <c r="B9" s="20"/>
      <c r="C9" s="20"/>
      <c r="D9" s="20"/>
      <c r="E9" s="18"/>
      <c r="F9" s="19"/>
      <c r="G9" s="13"/>
      <c r="H9" s="13"/>
      <c r="I9" s="19" t="str">
        <f aca="false">IF(H9="","",H9-F9)</f>
        <v/>
      </c>
      <c r="J9" s="30" t="str">
        <f aca="false">IF(H9="","",IF(H9&gt;0,I9/H9,""))</f>
        <v/>
      </c>
      <c r="K9" s="20"/>
      <c r="L9" s="20"/>
    </row>
    <row r="10" customFormat="false" ht="15" hidden="false" customHeight="true" outlineLevel="0" collapsed="false">
      <c r="A10" s="20"/>
      <c r="B10" s="20"/>
      <c r="C10" s="20"/>
      <c r="D10" s="20"/>
      <c r="E10" s="18"/>
      <c r="F10" s="19"/>
      <c r="G10" s="13"/>
      <c r="H10" s="13"/>
      <c r="I10" s="19" t="str">
        <f aca="false">IF(H10="","",H10-F10)</f>
        <v/>
      </c>
      <c r="J10" s="30" t="str">
        <f aca="false">IF(H10="","",IF(H10&gt;0,I10/H10,""))</f>
        <v/>
      </c>
      <c r="K10" s="20"/>
      <c r="L10" s="20"/>
    </row>
    <row r="11" customFormat="false" ht="15" hidden="false" customHeight="true" outlineLevel="0" collapsed="false">
      <c r="A11" s="20"/>
      <c r="B11" s="20"/>
      <c r="C11" s="20"/>
      <c r="D11" s="20"/>
      <c r="E11" s="18"/>
      <c r="F11" s="19"/>
      <c r="G11" s="13"/>
      <c r="H11" s="13"/>
      <c r="I11" s="19" t="str">
        <f aca="false">IF(H11="","",H11-F11)</f>
        <v/>
      </c>
      <c r="J11" s="30" t="str">
        <f aca="false">IF(H11="","",IF(H11&gt;0,I11/H11,""))</f>
        <v/>
      </c>
      <c r="K11" s="20"/>
      <c r="L11" s="20"/>
    </row>
    <row r="12" customFormat="false" ht="15" hidden="false" customHeight="true" outlineLevel="0" collapsed="false">
      <c r="A12" s="20"/>
      <c r="B12" s="20"/>
      <c r="C12" s="20"/>
      <c r="D12" s="20"/>
      <c r="E12" s="18"/>
      <c r="F12" s="19"/>
      <c r="G12" s="13"/>
      <c r="H12" s="13"/>
      <c r="I12" s="19" t="str">
        <f aca="false">IF(H12="","",H12-F12)</f>
        <v/>
      </c>
      <c r="J12" s="30" t="str">
        <f aca="false">IF(H12="","",IF(H12&gt;0,I12/H12,""))</f>
        <v/>
      </c>
      <c r="K12" s="20"/>
      <c r="L12" s="20"/>
    </row>
    <row r="13" customFormat="false" ht="15" hidden="false" customHeight="true" outlineLevel="0" collapsed="false">
      <c r="A13" s="20"/>
      <c r="B13" s="20"/>
      <c r="C13" s="20"/>
      <c r="D13" s="20"/>
      <c r="E13" s="18"/>
      <c r="F13" s="19"/>
      <c r="G13" s="13"/>
      <c r="H13" s="13"/>
      <c r="I13" s="19" t="str">
        <f aca="false">IF(H13="","",H13-F13)</f>
        <v/>
      </c>
      <c r="J13" s="30" t="str">
        <f aca="false">IF(H13="","",IF(H13&gt;0,I13/H13,""))</f>
        <v/>
      </c>
      <c r="K13" s="20"/>
      <c r="L13" s="20"/>
    </row>
    <row r="14" customFormat="false" ht="15" hidden="false" customHeight="true" outlineLevel="0" collapsed="false">
      <c r="A14" s="20"/>
      <c r="B14" s="20"/>
      <c r="C14" s="20"/>
      <c r="D14" s="20"/>
      <c r="E14" s="18"/>
      <c r="F14" s="19"/>
      <c r="G14" s="13"/>
      <c r="H14" s="13"/>
      <c r="I14" s="19" t="str">
        <f aca="false">IF(H14="","",H14-F14)</f>
        <v/>
      </c>
      <c r="J14" s="30" t="str">
        <f aca="false">IF(H14="","",IF(H14&gt;0,I14/H14,""))</f>
        <v/>
      </c>
      <c r="K14" s="20"/>
      <c r="L14" s="20"/>
    </row>
    <row r="15" customFormat="false" ht="15" hidden="false" customHeight="true" outlineLevel="0" collapsed="false">
      <c r="A15" s="20"/>
      <c r="B15" s="20"/>
      <c r="C15" s="20"/>
      <c r="D15" s="20"/>
      <c r="E15" s="18"/>
      <c r="F15" s="19"/>
      <c r="G15" s="13"/>
      <c r="H15" s="13"/>
      <c r="I15" s="19" t="str">
        <f aca="false">IF(H15="","",H15-F15)</f>
        <v/>
      </c>
      <c r="J15" s="30" t="str">
        <f aca="false">IF(H15="","",IF(H15&gt;0,I15/H15,""))</f>
        <v/>
      </c>
      <c r="K15" s="20"/>
      <c r="L15" s="20"/>
    </row>
    <row r="16" customFormat="false" ht="15" hidden="false" customHeight="true" outlineLevel="0" collapsed="false">
      <c r="A16" s="20"/>
      <c r="B16" s="20"/>
      <c r="C16" s="20"/>
      <c r="D16" s="20"/>
      <c r="E16" s="18"/>
      <c r="F16" s="19"/>
      <c r="G16" s="13"/>
      <c r="H16" s="13"/>
      <c r="I16" s="19" t="str">
        <f aca="false">IF(H16="","",H16-F16)</f>
        <v/>
      </c>
      <c r="J16" s="30" t="str">
        <f aca="false">IF(H16="","",IF(H16&gt;0,I16/H16,""))</f>
        <v/>
      </c>
      <c r="K16" s="20"/>
      <c r="L16" s="20"/>
    </row>
    <row r="17" customFormat="false" ht="15" hidden="false" customHeight="true" outlineLevel="0" collapsed="false">
      <c r="A17" s="20"/>
      <c r="B17" s="20"/>
      <c r="C17" s="20"/>
      <c r="D17" s="20"/>
      <c r="E17" s="18"/>
      <c r="F17" s="19"/>
      <c r="G17" s="13"/>
      <c r="H17" s="13"/>
      <c r="I17" s="19" t="str">
        <f aca="false">IF(H17="","",H17-F17)</f>
        <v/>
      </c>
      <c r="J17" s="30" t="str">
        <f aca="false">IF(H17="","",IF(H17&gt;0,I17/H17,""))</f>
        <v/>
      </c>
      <c r="K17" s="20"/>
      <c r="L17" s="20"/>
    </row>
    <row r="18" customFormat="false" ht="15" hidden="false" customHeight="true" outlineLevel="0" collapsed="false">
      <c r="A18" s="20"/>
      <c r="B18" s="20"/>
      <c r="C18" s="20"/>
      <c r="D18" s="20"/>
      <c r="E18" s="18"/>
      <c r="F18" s="19"/>
      <c r="G18" s="13"/>
      <c r="H18" s="13"/>
      <c r="I18" s="19" t="str">
        <f aca="false">IF(H18="","",H18-F18)</f>
        <v/>
      </c>
      <c r="J18" s="30" t="str">
        <f aca="false">IF(H18="","",IF(H18&gt;0,I18/H18,""))</f>
        <v/>
      </c>
      <c r="K18" s="20"/>
      <c r="L18" s="20"/>
    </row>
    <row r="19" customFormat="false" ht="15" hidden="false" customHeight="true" outlineLevel="0" collapsed="false">
      <c r="A19" s="20"/>
      <c r="B19" s="20"/>
      <c r="C19" s="20"/>
      <c r="D19" s="20"/>
      <c r="E19" s="18"/>
      <c r="F19" s="19"/>
      <c r="G19" s="13"/>
      <c r="H19" s="13"/>
      <c r="I19" s="19" t="str">
        <f aca="false">IF(H19="","",H19-F19)</f>
        <v/>
      </c>
      <c r="J19" s="30" t="str">
        <f aca="false">IF(H19="","",IF(H19&gt;0,I19/H19,""))</f>
        <v/>
      </c>
      <c r="K19" s="20"/>
      <c r="L19" s="20"/>
    </row>
    <row r="20" customFormat="false" ht="15" hidden="false" customHeight="true" outlineLevel="0" collapsed="false">
      <c r="A20" s="20"/>
      <c r="B20" s="20"/>
      <c r="C20" s="20"/>
      <c r="D20" s="20"/>
      <c r="E20" s="18"/>
      <c r="F20" s="19"/>
      <c r="G20" s="13"/>
      <c r="H20" s="13"/>
      <c r="I20" s="19" t="str">
        <f aca="false">IF(H20="","",H20-F20)</f>
        <v/>
      </c>
      <c r="J20" s="30" t="str">
        <f aca="false">IF(H20="","",IF(H20&gt;0,I20/H20,""))</f>
        <v/>
      </c>
      <c r="K20" s="20"/>
      <c r="L20" s="20"/>
    </row>
    <row r="21" customFormat="false" ht="15" hidden="false" customHeight="true" outlineLevel="0" collapsed="false">
      <c r="A21" s="20"/>
      <c r="B21" s="20"/>
      <c r="C21" s="20"/>
      <c r="D21" s="20"/>
      <c r="E21" s="18"/>
      <c r="F21" s="19"/>
      <c r="G21" s="13"/>
      <c r="H21" s="13"/>
      <c r="I21" s="19" t="str">
        <f aca="false">IF(H21="","",H21-F21)</f>
        <v/>
      </c>
      <c r="J21" s="30" t="str">
        <f aca="false">IF(H21="","",IF(H21&gt;0,I21/H21,""))</f>
        <v/>
      </c>
      <c r="K21" s="20"/>
      <c r="L21" s="20"/>
    </row>
    <row r="22" customFormat="false" ht="15" hidden="false" customHeight="true" outlineLevel="0" collapsed="false">
      <c r="A22" s="20"/>
      <c r="B22" s="20"/>
      <c r="C22" s="20"/>
      <c r="D22" s="20"/>
      <c r="E22" s="18"/>
      <c r="F22" s="19"/>
      <c r="G22" s="13"/>
      <c r="H22" s="13"/>
      <c r="I22" s="19" t="str">
        <f aca="false">IF(H22="","",H22-F22)</f>
        <v/>
      </c>
      <c r="J22" s="30" t="str">
        <f aca="false">IF(H22="","",IF(H22&gt;0,I22/H22,""))</f>
        <v/>
      </c>
      <c r="K22" s="20"/>
      <c r="L22" s="20"/>
    </row>
    <row r="23" customFormat="false" ht="15" hidden="false" customHeight="true" outlineLevel="0" collapsed="false">
      <c r="A23" s="20"/>
      <c r="B23" s="20"/>
      <c r="C23" s="20"/>
      <c r="D23" s="20"/>
      <c r="E23" s="18"/>
      <c r="F23" s="19"/>
      <c r="G23" s="13"/>
      <c r="H23" s="13"/>
      <c r="I23" s="19" t="str">
        <f aca="false">IF(H23="","",H23-F23)</f>
        <v/>
      </c>
      <c r="J23" s="30" t="str">
        <f aca="false">IF(H23="","",IF(H23&gt;0,I23/H23,""))</f>
        <v/>
      </c>
      <c r="K23" s="20"/>
      <c r="L23" s="20"/>
    </row>
    <row r="24" customFormat="false" ht="15" hidden="false" customHeight="true" outlineLevel="0" collapsed="false">
      <c r="A24" s="20"/>
      <c r="B24" s="20"/>
      <c r="C24" s="20"/>
      <c r="D24" s="20"/>
      <c r="E24" s="18"/>
      <c r="F24" s="19"/>
      <c r="G24" s="13"/>
      <c r="H24" s="13"/>
      <c r="I24" s="19" t="str">
        <f aca="false">IF(H24="","",H24-F24)</f>
        <v/>
      </c>
      <c r="J24" s="30" t="str">
        <f aca="false">IF(H24="","",IF(H24&gt;0,I24/H24,""))</f>
        <v/>
      </c>
      <c r="K24" s="20"/>
      <c r="L24" s="20"/>
    </row>
    <row r="25" customFormat="false" ht="15" hidden="false" customHeight="true" outlineLevel="0" collapsed="false">
      <c r="A25" s="20"/>
      <c r="B25" s="20"/>
      <c r="C25" s="20"/>
      <c r="D25" s="20"/>
      <c r="E25" s="18"/>
      <c r="F25" s="19"/>
      <c r="G25" s="13"/>
      <c r="H25" s="13"/>
      <c r="I25" s="19" t="str">
        <f aca="false">IF(H25="","",H25-F25)</f>
        <v/>
      </c>
      <c r="J25" s="30" t="str">
        <f aca="false">IF(H25="","",IF(H25&gt;0,I25/H25,""))</f>
        <v/>
      </c>
      <c r="K25" s="20"/>
      <c r="L25" s="20"/>
    </row>
    <row r="26" customFormat="false" ht="15" hidden="false" customHeight="true" outlineLevel="0" collapsed="false">
      <c r="A26" s="20"/>
      <c r="B26" s="20"/>
      <c r="C26" s="20"/>
      <c r="D26" s="20"/>
      <c r="E26" s="18"/>
      <c r="F26" s="19"/>
      <c r="G26" s="13"/>
      <c r="H26" s="13"/>
      <c r="I26" s="19" t="str">
        <f aca="false">IF(H26="","",H26-F26)</f>
        <v/>
      </c>
      <c r="J26" s="30" t="str">
        <f aca="false">IF(H26="","",IF(H26&gt;0,I26/H26,""))</f>
        <v/>
      </c>
      <c r="K26" s="20"/>
      <c r="L26" s="20"/>
    </row>
    <row r="27" customFormat="false" ht="15" hidden="false" customHeight="true" outlineLevel="0" collapsed="false">
      <c r="A27" s="20"/>
      <c r="B27" s="20"/>
      <c r="C27" s="20"/>
      <c r="D27" s="20"/>
      <c r="E27" s="18"/>
      <c r="F27" s="19"/>
      <c r="G27" s="13"/>
      <c r="H27" s="13"/>
      <c r="I27" s="19" t="str">
        <f aca="false">IF(H27="","",H27-F27)</f>
        <v/>
      </c>
      <c r="J27" s="30" t="str">
        <f aca="false">IF(H27="","",IF(H27&gt;0,I27/H27,""))</f>
        <v/>
      </c>
      <c r="K27" s="20"/>
      <c r="L27" s="20"/>
    </row>
    <row r="28" customFormat="false" ht="15" hidden="false" customHeight="true" outlineLevel="0" collapsed="false">
      <c r="A28" s="20"/>
      <c r="B28" s="20"/>
      <c r="C28" s="20"/>
      <c r="D28" s="20"/>
      <c r="E28" s="18"/>
      <c r="F28" s="19"/>
      <c r="G28" s="13"/>
      <c r="H28" s="13"/>
      <c r="I28" s="19" t="str">
        <f aca="false">IF(H28="","",H28-F28)</f>
        <v/>
      </c>
      <c r="J28" s="30" t="str">
        <f aca="false">IF(H28="","",IF(H28&gt;0,I28/H28,""))</f>
        <v/>
      </c>
      <c r="K28" s="20"/>
      <c r="L28" s="20"/>
    </row>
    <row r="29" customFormat="false" ht="15" hidden="false" customHeight="true" outlineLevel="0" collapsed="false">
      <c r="A29" s="20"/>
      <c r="B29" s="20"/>
      <c r="C29" s="20"/>
      <c r="D29" s="20"/>
      <c r="E29" s="18"/>
      <c r="F29" s="19"/>
      <c r="G29" s="13"/>
      <c r="H29" s="13"/>
      <c r="I29" s="19" t="str">
        <f aca="false">IF(H29="","",H29-F29)</f>
        <v/>
      </c>
      <c r="J29" s="30" t="str">
        <f aca="false">IF(H29="","",IF(H29&gt;0,I29/H29,""))</f>
        <v/>
      </c>
      <c r="K29" s="20"/>
      <c r="L29" s="20"/>
    </row>
    <row r="30" customFormat="false" ht="15" hidden="false" customHeight="true" outlineLevel="0" collapsed="false">
      <c r="A30" s="20"/>
      <c r="B30" s="20"/>
      <c r="C30" s="20"/>
      <c r="D30" s="20"/>
      <c r="E30" s="18"/>
      <c r="F30" s="19"/>
      <c r="G30" s="13"/>
      <c r="H30" s="13"/>
      <c r="I30" s="19" t="str">
        <f aca="false">IF(H30="","",H30-F30)</f>
        <v/>
      </c>
      <c r="J30" s="30" t="str">
        <f aca="false">IF(H30="","",IF(H30&gt;0,I30/H30,""))</f>
        <v/>
      </c>
      <c r="K30" s="20"/>
      <c r="L30" s="20"/>
    </row>
    <row r="31" customFormat="false" ht="15" hidden="false" customHeight="true" outlineLevel="0" collapsed="false">
      <c r="A31" s="20"/>
      <c r="B31" s="20"/>
      <c r="C31" s="20"/>
      <c r="D31" s="20"/>
      <c r="E31" s="18"/>
      <c r="F31" s="19"/>
      <c r="G31" s="13"/>
      <c r="H31" s="13"/>
      <c r="I31" s="19" t="str">
        <f aca="false">IF(H31="","",H31-F31)</f>
        <v/>
      </c>
      <c r="J31" s="30" t="str">
        <f aca="false">IF(H31="","",IF(H31&gt;0,I31/H31,""))</f>
        <v/>
      </c>
      <c r="K31" s="20"/>
      <c r="L31" s="20"/>
    </row>
    <row r="32" customFormat="false" ht="15" hidden="false" customHeight="true" outlineLevel="0" collapsed="false">
      <c r="A32" s="20"/>
      <c r="B32" s="20"/>
      <c r="C32" s="20"/>
      <c r="D32" s="20"/>
      <c r="E32" s="18"/>
      <c r="F32" s="19"/>
      <c r="G32" s="13"/>
      <c r="H32" s="13"/>
      <c r="I32" s="19" t="str">
        <f aca="false">IF(H32="","",H32-F32)</f>
        <v/>
      </c>
      <c r="J32" s="30" t="str">
        <f aca="false">IF(H32="","",IF(H32&gt;0,I32/H32,""))</f>
        <v/>
      </c>
      <c r="K32" s="20"/>
      <c r="L32" s="20"/>
    </row>
    <row r="33" customFormat="false" ht="15" hidden="false" customHeight="true" outlineLevel="0" collapsed="false">
      <c r="A33" s="20"/>
      <c r="B33" s="20"/>
      <c r="C33" s="20"/>
      <c r="D33" s="20"/>
      <c r="E33" s="18"/>
      <c r="F33" s="19"/>
      <c r="G33" s="13"/>
      <c r="H33" s="13"/>
      <c r="I33" s="19" t="str">
        <f aca="false">IF(H33="","",H33-F33)</f>
        <v/>
      </c>
      <c r="J33" s="30" t="str">
        <f aca="false">IF(H33="","",IF(H33&gt;0,I33/H33,""))</f>
        <v/>
      </c>
      <c r="K33" s="20"/>
      <c r="L33" s="20"/>
    </row>
    <row r="34" customFormat="false" ht="15" hidden="false" customHeight="true" outlineLevel="0" collapsed="false">
      <c r="A34" s="20"/>
      <c r="B34" s="20"/>
      <c r="C34" s="20"/>
      <c r="D34" s="20"/>
      <c r="E34" s="18"/>
      <c r="F34" s="19"/>
      <c r="G34" s="13"/>
      <c r="H34" s="13"/>
      <c r="I34" s="19" t="str">
        <f aca="false">IF(H34="","",H34-F34)</f>
        <v/>
      </c>
      <c r="J34" s="30" t="str">
        <f aca="false">IF(H34="","",IF(H34&gt;0,I34/H34,""))</f>
        <v/>
      </c>
      <c r="K34" s="20"/>
      <c r="L34" s="20"/>
    </row>
    <row r="35" customFormat="false" ht="15" hidden="false" customHeight="true" outlineLevel="0" collapsed="false">
      <c r="A35" s="20"/>
      <c r="B35" s="20"/>
      <c r="C35" s="20"/>
      <c r="D35" s="20"/>
      <c r="E35" s="18"/>
      <c r="F35" s="19"/>
      <c r="G35" s="13"/>
      <c r="H35" s="13"/>
      <c r="I35" s="19" t="str">
        <f aca="false">IF(H35="","",H35-F35)</f>
        <v/>
      </c>
      <c r="J35" s="30" t="str">
        <f aca="false">IF(H35="","",IF(H35&gt;0,I35/H35,""))</f>
        <v/>
      </c>
      <c r="K35" s="20"/>
      <c r="L35" s="20"/>
    </row>
    <row r="36" customFormat="false" ht="15" hidden="false" customHeight="true" outlineLevel="0" collapsed="false">
      <c r="A36" s="20"/>
      <c r="B36" s="20"/>
      <c r="C36" s="20"/>
      <c r="D36" s="20"/>
      <c r="E36" s="18"/>
      <c r="F36" s="19"/>
      <c r="G36" s="13"/>
      <c r="H36" s="13"/>
      <c r="I36" s="19" t="str">
        <f aca="false">IF(H36="","",H36-F36)</f>
        <v/>
      </c>
      <c r="J36" s="30" t="str">
        <f aca="false">IF(H36="","",IF(H36&gt;0,I36/H36,""))</f>
        <v/>
      </c>
      <c r="K36" s="20"/>
      <c r="L36" s="20"/>
    </row>
    <row r="37" customFormat="false" ht="15" hidden="false" customHeight="true" outlineLevel="0" collapsed="false">
      <c r="A37" s="20"/>
      <c r="B37" s="20"/>
      <c r="C37" s="20"/>
      <c r="D37" s="20"/>
      <c r="E37" s="18"/>
      <c r="F37" s="19"/>
      <c r="G37" s="13"/>
      <c r="H37" s="13"/>
      <c r="I37" s="19" t="str">
        <f aca="false">IF(H37="","",H37-F37)</f>
        <v/>
      </c>
      <c r="J37" s="30" t="str">
        <f aca="false">IF(H37="","",IF(H37&gt;0,I37/H37,""))</f>
        <v/>
      </c>
      <c r="K37" s="20"/>
      <c r="L37" s="20"/>
    </row>
    <row r="38" customFormat="false" ht="15" hidden="false" customHeight="true" outlineLevel="0" collapsed="false">
      <c r="A38" s="20"/>
      <c r="B38" s="20"/>
      <c r="C38" s="20"/>
      <c r="D38" s="20"/>
      <c r="E38" s="18"/>
      <c r="F38" s="19"/>
      <c r="G38" s="13"/>
      <c r="H38" s="13"/>
      <c r="I38" s="19" t="str">
        <f aca="false">IF(H38="","",H38-F38)</f>
        <v/>
      </c>
      <c r="J38" s="30" t="str">
        <f aca="false">IF(H38="","",IF(H38&gt;0,I38/H38,""))</f>
        <v/>
      </c>
      <c r="K38" s="20"/>
      <c r="L38" s="20"/>
    </row>
    <row r="39" customFormat="false" ht="15" hidden="false" customHeight="true" outlineLevel="0" collapsed="false">
      <c r="A39" s="20"/>
      <c r="B39" s="20"/>
      <c r="C39" s="20"/>
      <c r="D39" s="20"/>
      <c r="E39" s="18"/>
      <c r="F39" s="19"/>
      <c r="G39" s="13"/>
      <c r="H39" s="13"/>
      <c r="I39" s="19" t="str">
        <f aca="false">IF(H39="","",H39-F39)</f>
        <v/>
      </c>
      <c r="J39" s="30" t="str">
        <f aca="false">IF(H39="","",IF(H39&gt;0,I39/H39,""))</f>
        <v/>
      </c>
      <c r="K39" s="20"/>
      <c r="L39" s="20"/>
    </row>
    <row r="40" customFormat="false" ht="15" hidden="false" customHeight="true" outlineLevel="0" collapsed="false">
      <c r="A40" s="20"/>
      <c r="B40" s="20"/>
      <c r="C40" s="20"/>
      <c r="D40" s="20"/>
      <c r="E40" s="18"/>
      <c r="F40" s="19"/>
      <c r="G40" s="13"/>
      <c r="H40" s="13"/>
      <c r="I40" s="19" t="str">
        <f aca="false">IF(H40="","",H40-F40)</f>
        <v/>
      </c>
      <c r="J40" s="30" t="str">
        <f aca="false">IF(H40="","",IF(H40&gt;0,I40/H40,""))</f>
        <v/>
      </c>
      <c r="K40" s="20"/>
      <c r="L40" s="20"/>
    </row>
    <row r="41" customFormat="false" ht="15" hidden="false" customHeight="true" outlineLevel="0" collapsed="false">
      <c r="A41" s="20"/>
      <c r="B41" s="20"/>
      <c r="C41" s="20"/>
      <c r="D41" s="20"/>
      <c r="E41" s="18"/>
      <c r="F41" s="19"/>
      <c r="G41" s="13"/>
      <c r="H41" s="13"/>
      <c r="I41" s="19" t="str">
        <f aca="false">IF(H41="","",H41-F41)</f>
        <v/>
      </c>
      <c r="J41" s="30" t="str">
        <f aca="false">IF(H41="","",IF(H41&gt;0,I41/H41,""))</f>
        <v/>
      </c>
      <c r="K41" s="20"/>
      <c r="L41" s="20"/>
    </row>
    <row r="42" customFormat="false" ht="15" hidden="false" customHeight="true" outlineLevel="0" collapsed="false">
      <c r="A42" s="20"/>
      <c r="B42" s="20"/>
      <c r="C42" s="20"/>
      <c r="D42" s="20"/>
      <c r="E42" s="18"/>
      <c r="F42" s="19"/>
      <c r="G42" s="13"/>
      <c r="H42" s="13"/>
      <c r="I42" s="19" t="str">
        <f aca="false">IF(H42="","",H42-F42)</f>
        <v/>
      </c>
      <c r="J42" s="30" t="str">
        <f aca="false">IF(H42="","",IF(H42&gt;0,I42/H42,""))</f>
        <v/>
      </c>
      <c r="K42" s="20"/>
      <c r="L42" s="20"/>
    </row>
    <row r="43" customFormat="false" ht="15" hidden="false" customHeight="true" outlineLevel="0" collapsed="false">
      <c r="A43" s="20"/>
      <c r="B43" s="20"/>
      <c r="C43" s="20"/>
      <c r="D43" s="20"/>
      <c r="E43" s="18"/>
      <c r="F43" s="19"/>
      <c r="G43" s="13"/>
      <c r="H43" s="13"/>
      <c r="I43" s="19" t="str">
        <f aca="false">IF(H43="","",H43-F43)</f>
        <v/>
      </c>
      <c r="J43" s="30" t="str">
        <f aca="false">IF(H43="","",IF(H43&gt;0,I43/H43,""))</f>
        <v/>
      </c>
      <c r="K43" s="20"/>
      <c r="L43" s="20"/>
    </row>
    <row r="44" customFormat="false" ht="15" hidden="false" customHeight="true" outlineLevel="0" collapsed="false">
      <c r="A44" s="20"/>
      <c r="B44" s="20"/>
      <c r="C44" s="20"/>
      <c r="D44" s="20"/>
      <c r="E44" s="18"/>
      <c r="F44" s="19"/>
      <c r="G44" s="13"/>
      <c r="H44" s="13"/>
      <c r="I44" s="19" t="str">
        <f aca="false">IF(H44="","",H44-F44)</f>
        <v/>
      </c>
      <c r="J44" s="30" t="str">
        <f aca="false">IF(H44="","",IF(H44&gt;0,I44/H44,""))</f>
        <v/>
      </c>
      <c r="K44" s="20"/>
      <c r="L44" s="20"/>
    </row>
    <row r="45" customFormat="false" ht="15" hidden="false" customHeight="true" outlineLevel="0" collapsed="false">
      <c r="A45" s="20"/>
      <c r="B45" s="20"/>
      <c r="C45" s="20"/>
      <c r="D45" s="20"/>
      <c r="E45" s="18"/>
      <c r="F45" s="19"/>
      <c r="G45" s="13"/>
      <c r="H45" s="13"/>
      <c r="I45" s="19" t="str">
        <f aca="false">IF(H45="","",H45-F45)</f>
        <v/>
      </c>
      <c r="J45" s="30" t="str">
        <f aca="false">IF(H45="","",IF(H45&gt;0,I45/H45,""))</f>
        <v/>
      </c>
      <c r="K45" s="20"/>
      <c r="L45" s="20"/>
    </row>
    <row r="46" customFormat="false" ht="15" hidden="false" customHeight="true" outlineLevel="0" collapsed="false">
      <c r="A46" s="20"/>
      <c r="B46" s="20"/>
      <c r="C46" s="20"/>
      <c r="D46" s="20"/>
      <c r="E46" s="18"/>
      <c r="F46" s="19"/>
      <c r="G46" s="13"/>
      <c r="H46" s="13"/>
      <c r="I46" s="19" t="str">
        <f aca="false">IF(H46="","",H46-F46)</f>
        <v/>
      </c>
      <c r="J46" s="30" t="str">
        <f aca="false">IF(H46="","",IF(H46&gt;0,I46/H46,""))</f>
        <v/>
      </c>
      <c r="K46" s="20"/>
      <c r="L46" s="20"/>
    </row>
    <row r="47" customFormat="false" ht="15" hidden="false" customHeight="true" outlineLevel="0" collapsed="false">
      <c r="A47" s="20"/>
      <c r="B47" s="20"/>
      <c r="C47" s="20"/>
      <c r="D47" s="20"/>
      <c r="E47" s="18"/>
      <c r="F47" s="19"/>
      <c r="G47" s="13"/>
      <c r="H47" s="13"/>
      <c r="I47" s="19" t="str">
        <f aca="false">IF(H47="","",H47-F47)</f>
        <v/>
      </c>
      <c r="J47" s="30" t="str">
        <f aca="false">IF(H47="","",IF(H47&gt;0,I47/H47,""))</f>
        <v/>
      </c>
      <c r="K47" s="20"/>
      <c r="L47" s="20"/>
    </row>
    <row r="48" customFormat="false" ht="15" hidden="false" customHeight="true" outlineLevel="0" collapsed="false">
      <c r="A48" s="20"/>
      <c r="B48" s="20"/>
      <c r="C48" s="20"/>
      <c r="D48" s="20"/>
      <c r="E48" s="18"/>
      <c r="F48" s="19"/>
      <c r="G48" s="13"/>
      <c r="H48" s="13"/>
      <c r="I48" s="19" t="str">
        <f aca="false">IF(H48="","",H48-F48)</f>
        <v/>
      </c>
      <c r="J48" s="30" t="str">
        <f aca="false">IF(H48="","",IF(H48&gt;0,I48/H48,""))</f>
        <v/>
      </c>
      <c r="K48" s="20"/>
      <c r="L48" s="20"/>
    </row>
    <row r="49" customFormat="false" ht="15" hidden="false" customHeight="true" outlineLevel="0" collapsed="false">
      <c r="A49" s="20"/>
      <c r="B49" s="20"/>
      <c r="C49" s="20"/>
      <c r="D49" s="20"/>
      <c r="E49" s="18"/>
      <c r="F49" s="19"/>
      <c r="G49" s="13"/>
      <c r="H49" s="13"/>
      <c r="I49" s="19" t="str">
        <f aca="false">IF(H49="","",H49-F49)</f>
        <v/>
      </c>
      <c r="J49" s="30" t="str">
        <f aca="false">IF(H49="","",IF(H49&gt;0,I49/H49,""))</f>
        <v/>
      </c>
      <c r="K49" s="20"/>
      <c r="L49" s="20"/>
    </row>
    <row r="50" customFormat="false" ht="15" hidden="false" customHeight="true" outlineLevel="0" collapsed="false">
      <c r="A50" s="20"/>
      <c r="B50" s="20"/>
      <c r="C50" s="20"/>
      <c r="D50" s="20"/>
      <c r="E50" s="18"/>
      <c r="F50" s="19"/>
      <c r="G50" s="13"/>
      <c r="H50" s="13"/>
      <c r="I50" s="19" t="str">
        <f aca="false">IF(H50="","",H50-F50)</f>
        <v/>
      </c>
      <c r="J50" s="30" t="str">
        <f aca="false">IF(H50="","",IF(H50&gt;0,I50/H50,""))</f>
        <v/>
      </c>
      <c r="K50" s="20"/>
      <c r="L50" s="20"/>
    </row>
    <row r="51" customFormat="false" ht="15" hidden="false" customHeight="true" outlineLevel="0" collapsed="false">
      <c r="A51" s="20"/>
      <c r="B51" s="20"/>
      <c r="C51" s="20"/>
      <c r="D51" s="20"/>
      <c r="E51" s="18"/>
      <c r="F51" s="19"/>
      <c r="G51" s="13"/>
      <c r="H51" s="13"/>
      <c r="I51" s="19" t="str">
        <f aca="false">IF(H51="","",H51-F51)</f>
        <v/>
      </c>
      <c r="J51" s="30" t="str">
        <f aca="false">IF(H51="","",IF(H51&gt;0,I51/H51,""))</f>
        <v/>
      </c>
      <c r="K51" s="20"/>
      <c r="L51" s="20"/>
    </row>
    <row r="52" customFormat="false" ht="15" hidden="false" customHeight="true" outlineLevel="0" collapsed="false">
      <c r="A52" s="20"/>
      <c r="B52" s="20"/>
      <c r="C52" s="20"/>
      <c r="D52" s="20"/>
      <c r="E52" s="18"/>
      <c r="F52" s="19"/>
      <c r="G52" s="13"/>
      <c r="H52" s="13"/>
      <c r="I52" s="19" t="str">
        <f aca="false">IF(H52="","",H52-F52)</f>
        <v/>
      </c>
      <c r="J52" s="30" t="str">
        <f aca="false">IF(H52="","",IF(H52&gt;0,I52/H52,""))</f>
        <v/>
      </c>
      <c r="K52" s="20"/>
      <c r="L52" s="20"/>
    </row>
    <row r="53" customFormat="false" ht="15" hidden="false" customHeight="true" outlineLevel="0" collapsed="false">
      <c r="A53" s="20"/>
      <c r="B53" s="20"/>
      <c r="C53" s="20"/>
      <c r="D53" s="20"/>
      <c r="E53" s="18"/>
      <c r="F53" s="19"/>
      <c r="G53" s="13"/>
      <c r="H53" s="13"/>
      <c r="I53" s="19" t="str">
        <f aca="false">IF(H53="","",H53-F53)</f>
        <v/>
      </c>
      <c r="J53" s="30" t="str">
        <f aca="false">IF(H53="","",IF(H53&gt;0,I53/H53,""))</f>
        <v/>
      </c>
      <c r="K53" s="20"/>
      <c r="L53" s="20"/>
    </row>
    <row r="54" customFormat="false" ht="15" hidden="false" customHeight="true" outlineLevel="0" collapsed="false">
      <c r="A54" s="20"/>
      <c r="B54" s="20"/>
      <c r="C54" s="20"/>
      <c r="D54" s="20"/>
      <c r="E54" s="18"/>
      <c r="F54" s="19"/>
      <c r="G54" s="13"/>
      <c r="H54" s="13"/>
      <c r="I54" s="19" t="str">
        <f aca="false">IF(H54="","",H54-F54)</f>
        <v/>
      </c>
      <c r="J54" s="30" t="str">
        <f aca="false">IF(H54="","",IF(H54&gt;0,I54/H54,""))</f>
        <v/>
      </c>
      <c r="K54" s="20"/>
      <c r="L54" s="20"/>
    </row>
    <row r="55" customFormat="false" ht="15" hidden="false" customHeight="true" outlineLevel="0" collapsed="false">
      <c r="A55" s="20"/>
      <c r="B55" s="20"/>
      <c r="C55" s="20"/>
      <c r="D55" s="20"/>
      <c r="E55" s="18"/>
      <c r="F55" s="19"/>
      <c r="G55" s="13"/>
      <c r="H55" s="13"/>
      <c r="I55" s="19" t="str">
        <f aca="false">IF(H55="","",H55-F55)</f>
        <v/>
      </c>
      <c r="J55" s="30" t="str">
        <f aca="false">IF(H55="","",IF(H55&gt;0,I55/H55,""))</f>
        <v/>
      </c>
      <c r="K55" s="20"/>
      <c r="L55" s="20"/>
    </row>
    <row r="56" customFormat="false" ht="15" hidden="false" customHeight="true" outlineLevel="0" collapsed="false">
      <c r="A56" s="20"/>
      <c r="B56" s="20"/>
      <c r="C56" s="20"/>
      <c r="D56" s="20"/>
      <c r="E56" s="18"/>
      <c r="F56" s="19"/>
      <c r="G56" s="13"/>
      <c r="H56" s="13"/>
      <c r="I56" s="19" t="str">
        <f aca="false">IF(H56="","",H56-F56)</f>
        <v/>
      </c>
      <c r="J56" s="30" t="str">
        <f aca="false">IF(H56="","",IF(H56&gt;0,I56/H56,""))</f>
        <v/>
      </c>
      <c r="K56" s="20"/>
      <c r="L56" s="20"/>
    </row>
    <row r="57" customFormat="false" ht="15" hidden="false" customHeight="true" outlineLevel="0" collapsed="false">
      <c r="A57" s="20"/>
      <c r="B57" s="20"/>
      <c r="C57" s="20"/>
      <c r="D57" s="20"/>
      <c r="E57" s="18"/>
      <c r="F57" s="19"/>
      <c r="G57" s="13"/>
      <c r="H57" s="13"/>
      <c r="I57" s="19" t="str">
        <f aca="false">IF(H57="","",H57-F57)</f>
        <v/>
      </c>
      <c r="J57" s="30" t="str">
        <f aca="false">IF(H57="","",IF(H57&gt;0,I57/H57,""))</f>
        <v/>
      </c>
      <c r="K57" s="20"/>
      <c r="L57" s="20"/>
    </row>
    <row r="58" customFormat="false" ht="15" hidden="false" customHeight="true" outlineLevel="0" collapsed="false">
      <c r="A58" s="20"/>
      <c r="B58" s="20"/>
      <c r="C58" s="20"/>
      <c r="D58" s="20"/>
      <c r="E58" s="18"/>
      <c r="F58" s="19"/>
      <c r="G58" s="13"/>
      <c r="H58" s="13"/>
      <c r="I58" s="19" t="str">
        <f aca="false">IF(H58="","",H58-F58)</f>
        <v/>
      </c>
      <c r="J58" s="30" t="str">
        <f aca="false">IF(H58="","",IF(H58&gt;0,I58/H58,""))</f>
        <v/>
      </c>
      <c r="K58" s="20"/>
      <c r="L58" s="20"/>
    </row>
    <row r="59" customFormat="false" ht="15" hidden="false" customHeight="true" outlineLevel="0" collapsed="false">
      <c r="A59" s="20"/>
      <c r="B59" s="20"/>
      <c r="C59" s="20"/>
      <c r="D59" s="20"/>
      <c r="E59" s="18"/>
      <c r="F59" s="19"/>
      <c r="G59" s="13"/>
      <c r="H59" s="13"/>
      <c r="I59" s="19" t="str">
        <f aca="false">IF(H59="","",H59-F59)</f>
        <v/>
      </c>
      <c r="J59" s="30" t="str">
        <f aca="false">IF(H59="","",IF(H59&gt;0,I59/H59,""))</f>
        <v/>
      </c>
      <c r="K59" s="20"/>
      <c r="L59" s="20"/>
    </row>
    <row r="60" customFormat="false" ht="15" hidden="false" customHeight="true" outlineLevel="0" collapsed="false">
      <c r="A60" s="20"/>
      <c r="B60" s="20"/>
      <c r="C60" s="20"/>
      <c r="D60" s="20"/>
      <c r="E60" s="18"/>
      <c r="F60" s="19"/>
      <c r="G60" s="13"/>
      <c r="H60" s="13"/>
      <c r="I60" s="19" t="str">
        <f aca="false">IF(H60="","",H60-F60)</f>
        <v/>
      </c>
      <c r="J60" s="30" t="str">
        <f aca="false">IF(H60="","",IF(H60&gt;0,I60/H60,""))</f>
        <v/>
      </c>
      <c r="K60" s="20"/>
      <c r="L60" s="20"/>
    </row>
    <row r="61" customFormat="false" ht="15" hidden="false" customHeight="true" outlineLevel="0" collapsed="false">
      <c r="A61" s="20"/>
      <c r="B61" s="20"/>
      <c r="C61" s="20"/>
      <c r="D61" s="20"/>
      <c r="E61" s="18"/>
      <c r="F61" s="19"/>
      <c r="G61" s="13"/>
      <c r="H61" s="13"/>
      <c r="I61" s="19" t="str">
        <f aca="false">IF(H61="","",H61-F61)</f>
        <v/>
      </c>
      <c r="J61" s="30" t="str">
        <f aca="false">IF(H61="","",IF(H61&gt;0,I61/H61,""))</f>
        <v/>
      </c>
      <c r="K61" s="20"/>
      <c r="L61" s="20"/>
    </row>
    <row r="62" customFormat="false" ht="15" hidden="false" customHeight="true" outlineLevel="0" collapsed="false">
      <c r="A62" s="20"/>
      <c r="B62" s="20"/>
      <c r="C62" s="20"/>
      <c r="D62" s="20"/>
      <c r="E62" s="18"/>
      <c r="F62" s="19"/>
      <c r="G62" s="13"/>
      <c r="H62" s="13"/>
      <c r="I62" s="19" t="str">
        <f aca="false">IF(H62="","",H62-F62)</f>
        <v/>
      </c>
      <c r="J62" s="30" t="str">
        <f aca="false">IF(H62="","",IF(H62&gt;0,I62/H62,""))</f>
        <v/>
      </c>
      <c r="K62" s="20"/>
      <c r="L62" s="20"/>
    </row>
    <row r="63" customFormat="false" ht="15" hidden="false" customHeight="true" outlineLevel="0" collapsed="false">
      <c r="A63" s="20"/>
      <c r="B63" s="20"/>
      <c r="C63" s="20"/>
      <c r="D63" s="20"/>
      <c r="E63" s="18"/>
      <c r="F63" s="19"/>
      <c r="G63" s="13"/>
      <c r="H63" s="13"/>
      <c r="I63" s="19" t="str">
        <f aca="false">IF(H63="","",H63-F63)</f>
        <v/>
      </c>
      <c r="J63" s="30" t="str">
        <f aca="false">IF(H63="","",IF(H63&gt;0,I63/H63,""))</f>
        <v/>
      </c>
      <c r="K63" s="20"/>
      <c r="L63" s="20"/>
    </row>
    <row r="64" customFormat="false" ht="15" hidden="false" customHeight="true" outlineLevel="0" collapsed="false">
      <c r="A64" s="20"/>
      <c r="B64" s="20"/>
      <c r="C64" s="20"/>
      <c r="D64" s="20"/>
      <c r="E64" s="18"/>
      <c r="F64" s="19"/>
      <c r="G64" s="13"/>
      <c r="H64" s="13"/>
      <c r="I64" s="19" t="str">
        <f aca="false">IF(H64="","",H64-F64)</f>
        <v/>
      </c>
      <c r="J64" s="30" t="str">
        <f aca="false">IF(H64="","",IF(H64&gt;0,I64/H64,""))</f>
        <v/>
      </c>
      <c r="K64" s="20"/>
      <c r="L64" s="20"/>
    </row>
    <row r="65" customFormat="false" ht="15" hidden="false" customHeight="true" outlineLevel="0" collapsed="false">
      <c r="A65" s="20"/>
      <c r="B65" s="20"/>
      <c r="C65" s="20"/>
      <c r="D65" s="20"/>
      <c r="E65" s="18"/>
      <c r="F65" s="19"/>
      <c r="G65" s="13"/>
      <c r="H65" s="13"/>
      <c r="I65" s="19" t="str">
        <f aca="false">IF(H65="","",H65-F65)</f>
        <v/>
      </c>
      <c r="J65" s="30" t="str">
        <f aca="false">IF(H65="","",IF(H65&gt;0,I65/H65,""))</f>
        <v/>
      </c>
      <c r="K65" s="20"/>
      <c r="L65" s="20"/>
    </row>
    <row r="66" customFormat="false" ht="15" hidden="false" customHeight="true" outlineLevel="0" collapsed="false">
      <c r="A66" s="20"/>
      <c r="B66" s="20"/>
      <c r="C66" s="20"/>
      <c r="D66" s="20"/>
      <c r="E66" s="18"/>
      <c r="F66" s="19"/>
      <c r="G66" s="13"/>
      <c r="H66" s="13"/>
      <c r="I66" s="19" t="str">
        <f aca="false">IF(H66="","",H66-F66)</f>
        <v/>
      </c>
      <c r="J66" s="30" t="str">
        <f aca="false">IF(H66="","",IF(H66&gt;0,I66/H66,""))</f>
        <v/>
      </c>
      <c r="K66" s="20"/>
      <c r="L66" s="20"/>
    </row>
    <row r="67" customFormat="false" ht="15" hidden="false" customHeight="true" outlineLevel="0" collapsed="false">
      <c r="A67" s="20"/>
      <c r="B67" s="20"/>
      <c r="C67" s="20"/>
      <c r="D67" s="20"/>
      <c r="E67" s="18"/>
      <c r="F67" s="19"/>
      <c r="G67" s="13"/>
      <c r="H67" s="13"/>
      <c r="I67" s="19" t="str">
        <f aca="false">IF(H67="","",H67-F67)</f>
        <v/>
      </c>
      <c r="J67" s="30" t="str">
        <f aca="false">IF(H67="","",IF(H67&gt;0,I67/H67,""))</f>
        <v/>
      </c>
      <c r="K67" s="20"/>
      <c r="L67" s="20"/>
    </row>
    <row r="68" customFormat="false" ht="15" hidden="false" customHeight="true" outlineLevel="0" collapsed="false">
      <c r="A68" s="20"/>
      <c r="B68" s="20"/>
      <c r="C68" s="20"/>
      <c r="D68" s="20"/>
      <c r="E68" s="18"/>
      <c r="F68" s="19"/>
      <c r="G68" s="13"/>
      <c r="H68" s="13"/>
      <c r="I68" s="19" t="str">
        <f aca="false">IF(H68="","",H68-F68)</f>
        <v/>
      </c>
      <c r="J68" s="30" t="str">
        <f aca="false">IF(H68="","",IF(H68&gt;0,I68/H68,""))</f>
        <v/>
      </c>
      <c r="K68" s="20"/>
      <c r="L68" s="20"/>
    </row>
    <row r="69" customFormat="false" ht="15" hidden="false" customHeight="true" outlineLevel="0" collapsed="false">
      <c r="A69" s="20"/>
      <c r="B69" s="20"/>
      <c r="C69" s="20"/>
      <c r="D69" s="20"/>
      <c r="E69" s="18"/>
      <c r="F69" s="19"/>
      <c r="G69" s="13"/>
      <c r="H69" s="13"/>
      <c r="I69" s="19" t="str">
        <f aca="false">IF(H69="","",H69-F69)</f>
        <v/>
      </c>
      <c r="J69" s="30" t="str">
        <f aca="false">IF(H69="","",IF(H69&gt;0,I69/H69,""))</f>
        <v/>
      </c>
      <c r="K69" s="20"/>
      <c r="L69" s="20"/>
    </row>
    <row r="70" customFormat="false" ht="15" hidden="false" customHeight="true" outlineLevel="0" collapsed="false">
      <c r="A70" s="20"/>
      <c r="B70" s="20"/>
      <c r="C70" s="20"/>
      <c r="D70" s="20"/>
      <c r="E70" s="18"/>
      <c r="F70" s="19"/>
      <c r="G70" s="13"/>
      <c r="H70" s="13"/>
      <c r="I70" s="19" t="str">
        <f aca="false">IF(H70="","",H70-F70)</f>
        <v/>
      </c>
      <c r="J70" s="30" t="str">
        <f aca="false">IF(H70="","",IF(H70&gt;0,I70/H70,""))</f>
        <v/>
      </c>
      <c r="K70" s="20"/>
      <c r="L70" s="20"/>
    </row>
    <row r="71" customFormat="false" ht="15" hidden="false" customHeight="true" outlineLevel="0" collapsed="false">
      <c r="A71" s="20"/>
      <c r="B71" s="20"/>
      <c r="C71" s="20"/>
      <c r="D71" s="20"/>
      <c r="E71" s="18"/>
      <c r="F71" s="19"/>
      <c r="G71" s="13"/>
      <c r="H71" s="13"/>
      <c r="I71" s="19" t="str">
        <f aca="false">IF(H71="","",H71-F71)</f>
        <v/>
      </c>
      <c r="J71" s="30" t="str">
        <f aca="false">IF(H71="","",IF(H71&gt;0,I71/H71,""))</f>
        <v/>
      </c>
      <c r="K71" s="20"/>
      <c r="L71" s="20"/>
    </row>
    <row r="72" customFormat="false" ht="15" hidden="false" customHeight="true" outlineLevel="0" collapsed="false">
      <c r="A72" s="20"/>
      <c r="B72" s="20"/>
      <c r="C72" s="20"/>
      <c r="D72" s="20"/>
      <c r="E72" s="18"/>
      <c r="F72" s="19"/>
      <c r="G72" s="13"/>
      <c r="H72" s="13"/>
      <c r="I72" s="19" t="str">
        <f aca="false">IF(H72="","",H72-F72)</f>
        <v/>
      </c>
      <c r="J72" s="30" t="str">
        <f aca="false">IF(H72="","",IF(H72&gt;0,I72/H72,""))</f>
        <v/>
      </c>
      <c r="K72" s="20"/>
      <c r="L72" s="20"/>
    </row>
    <row r="73" customFormat="false" ht="15" hidden="false" customHeight="true" outlineLevel="0" collapsed="false">
      <c r="A73" s="20"/>
      <c r="B73" s="20"/>
      <c r="C73" s="20"/>
      <c r="D73" s="20"/>
      <c r="E73" s="18"/>
      <c r="F73" s="19"/>
      <c r="G73" s="13"/>
      <c r="H73" s="13"/>
      <c r="I73" s="19" t="str">
        <f aca="false">IF(H73="","",H73-F73)</f>
        <v/>
      </c>
      <c r="J73" s="30" t="str">
        <f aca="false">IF(H73="","",IF(H73&gt;0,I73/H73,""))</f>
        <v/>
      </c>
      <c r="K73" s="20"/>
      <c r="L73" s="20"/>
    </row>
    <row r="74" customFormat="false" ht="15" hidden="false" customHeight="true" outlineLevel="0" collapsed="false">
      <c r="A74" s="20"/>
      <c r="B74" s="20"/>
      <c r="C74" s="20"/>
      <c r="D74" s="20"/>
      <c r="E74" s="18"/>
      <c r="F74" s="19"/>
      <c r="G74" s="13"/>
      <c r="H74" s="13"/>
      <c r="I74" s="19" t="str">
        <f aca="false">IF(H74="","",H74-F74)</f>
        <v/>
      </c>
      <c r="J74" s="30" t="str">
        <f aca="false">IF(H74="","",IF(H74&gt;0,I74/H74,""))</f>
        <v/>
      </c>
      <c r="K74" s="20"/>
      <c r="L74" s="20"/>
    </row>
    <row r="75" customFormat="false" ht="15" hidden="false" customHeight="true" outlineLevel="0" collapsed="false">
      <c r="A75" s="20"/>
      <c r="B75" s="20"/>
      <c r="C75" s="20"/>
      <c r="D75" s="20"/>
      <c r="E75" s="18"/>
      <c r="F75" s="19"/>
      <c r="G75" s="13"/>
      <c r="H75" s="13"/>
      <c r="I75" s="19" t="str">
        <f aca="false">IF(H75="","",H75-F75)</f>
        <v/>
      </c>
      <c r="J75" s="30" t="str">
        <f aca="false">IF(H75="","",IF(H75&gt;0,I75/H75,""))</f>
        <v/>
      </c>
      <c r="K75" s="20"/>
      <c r="L75" s="20"/>
    </row>
    <row r="76" customFormat="false" ht="15" hidden="false" customHeight="true" outlineLevel="0" collapsed="false">
      <c r="A76" s="20"/>
      <c r="B76" s="20"/>
      <c r="C76" s="20"/>
      <c r="D76" s="20"/>
      <c r="E76" s="18"/>
      <c r="F76" s="19"/>
      <c r="G76" s="13"/>
      <c r="H76" s="13"/>
      <c r="I76" s="19" t="str">
        <f aca="false">IF(H76="","",H76-F76)</f>
        <v/>
      </c>
      <c r="J76" s="30" t="str">
        <f aca="false">IF(H76="","",IF(H76&gt;0,I76/H76,""))</f>
        <v/>
      </c>
      <c r="K76" s="20"/>
      <c r="L76" s="20"/>
    </row>
    <row r="77" customFormat="false" ht="15" hidden="false" customHeight="true" outlineLevel="0" collapsed="false">
      <c r="A77" s="20"/>
      <c r="B77" s="20"/>
      <c r="C77" s="20"/>
      <c r="D77" s="20"/>
      <c r="E77" s="18"/>
      <c r="F77" s="19"/>
      <c r="G77" s="13"/>
      <c r="H77" s="13"/>
      <c r="I77" s="19" t="str">
        <f aca="false">IF(H77="","",H77-F77)</f>
        <v/>
      </c>
      <c r="J77" s="30" t="str">
        <f aca="false">IF(H77="","",IF(H77&gt;0,I77/H77,""))</f>
        <v/>
      </c>
      <c r="K77" s="20"/>
      <c r="L77" s="20"/>
    </row>
    <row r="78" customFormat="false" ht="15" hidden="false" customHeight="true" outlineLevel="0" collapsed="false">
      <c r="A78" s="20"/>
      <c r="B78" s="20"/>
      <c r="C78" s="20"/>
      <c r="D78" s="20"/>
      <c r="E78" s="18"/>
      <c r="F78" s="19"/>
      <c r="G78" s="13"/>
      <c r="H78" s="13"/>
      <c r="I78" s="19" t="str">
        <f aca="false">IF(H78="","",H78-F78)</f>
        <v/>
      </c>
      <c r="J78" s="30" t="str">
        <f aca="false">IF(H78="","",IF(H78&gt;0,I78/H78,""))</f>
        <v/>
      </c>
      <c r="K78" s="20"/>
      <c r="L78" s="20"/>
    </row>
    <row r="79" customFormat="false" ht="15" hidden="false" customHeight="true" outlineLevel="0" collapsed="false">
      <c r="A79" s="20"/>
      <c r="B79" s="20"/>
      <c r="C79" s="20"/>
      <c r="D79" s="20"/>
      <c r="E79" s="18"/>
      <c r="F79" s="19"/>
      <c r="G79" s="13"/>
      <c r="H79" s="13"/>
      <c r="I79" s="19" t="str">
        <f aca="false">IF(H79="","",H79-F79)</f>
        <v/>
      </c>
      <c r="J79" s="30" t="str">
        <f aca="false">IF(H79="","",IF(H79&gt;0,I79/H79,""))</f>
        <v/>
      </c>
      <c r="K79" s="20"/>
      <c r="L79" s="20"/>
    </row>
    <row r="80" customFormat="false" ht="15" hidden="false" customHeight="true" outlineLevel="0" collapsed="false">
      <c r="A80" s="20"/>
      <c r="B80" s="20"/>
      <c r="C80" s="20"/>
      <c r="D80" s="20"/>
      <c r="E80" s="18"/>
      <c r="F80" s="19"/>
      <c r="G80" s="13"/>
      <c r="H80" s="13"/>
      <c r="I80" s="19" t="str">
        <f aca="false">IF(H80="","",H80-F80)</f>
        <v/>
      </c>
      <c r="J80" s="30" t="str">
        <f aca="false">IF(H80="","",IF(H80&gt;0,I80/H80,""))</f>
        <v/>
      </c>
      <c r="K80" s="20"/>
      <c r="L80" s="20"/>
    </row>
    <row r="81" customFormat="false" ht="15" hidden="false" customHeight="true" outlineLevel="0" collapsed="false">
      <c r="A81" s="20"/>
      <c r="B81" s="20"/>
      <c r="C81" s="20"/>
      <c r="D81" s="20"/>
      <c r="E81" s="18"/>
      <c r="F81" s="19"/>
      <c r="G81" s="13"/>
      <c r="H81" s="13"/>
      <c r="I81" s="19" t="str">
        <f aca="false">IF(H81="","",H81-F81)</f>
        <v/>
      </c>
      <c r="J81" s="30" t="str">
        <f aca="false">IF(H81="","",IF(H81&gt;0,I81/H81,""))</f>
        <v/>
      </c>
      <c r="K81" s="20"/>
      <c r="L81" s="20"/>
    </row>
    <row r="82" customFormat="false" ht="15" hidden="false" customHeight="true" outlineLevel="0" collapsed="false">
      <c r="A82" s="20"/>
      <c r="B82" s="20"/>
      <c r="C82" s="20"/>
      <c r="D82" s="20"/>
      <c r="E82" s="18"/>
      <c r="F82" s="19"/>
      <c r="G82" s="13"/>
      <c r="H82" s="13"/>
      <c r="I82" s="19" t="str">
        <f aca="false">IF(H82="","",H82-F82)</f>
        <v/>
      </c>
      <c r="J82" s="30" t="str">
        <f aca="false">IF(H82="","",IF(H82&gt;0,I82/H82,""))</f>
        <v/>
      </c>
      <c r="K82" s="20"/>
      <c r="L82" s="20"/>
    </row>
    <row r="83" customFormat="false" ht="15" hidden="false" customHeight="true" outlineLevel="0" collapsed="false">
      <c r="A83" s="20"/>
      <c r="B83" s="20"/>
      <c r="C83" s="20"/>
      <c r="D83" s="20"/>
      <c r="E83" s="18"/>
      <c r="F83" s="19"/>
      <c r="G83" s="13"/>
      <c r="H83" s="13"/>
      <c r="I83" s="19" t="str">
        <f aca="false">IF(H83="","",H83-F83)</f>
        <v/>
      </c>
      <c r="J83" s="30" t="str">
        <f aca="false">IF(H83="","",IF(H83&gt;0,I83/H83,""))</f>
        <v/>
      </c>
      <c r="K83" s="20"/>
      <c r="L83" s="20"/>
    </row>
    <row r="84" customFormat="false" ht="15" hidden="false" customHeight="true" outlineLevel="0" collapsed="false">
      <c r="A84" s="20"/>
      <c r="B84" s="20"/>
      <c r="C84" s="20"/>
      <c r="D84" s="20"/>
      <c r="E84" s="18"/>
      <c r="F84" s="19"/>
      <c r="G84" s="13"/>
      <c r="H84" s="13"/>
      <c r="I84" s="19" t="str">
        <f aca="false">IF(H84="","",H84-F84)</f>
        <v/>
      </c>
      <c r="J84" s="30" t="str">
        <f aca="false">IF(H84="","",IF(H84&gt;0,I84/H84,""))</f>
        <v/>
      </c>
      <c r="K84" s="20"/>
      <c r="L84" s="20"/>
    </row>
    <row r="85" customFormat="false" ht="15" hidden="false" customHeight="true" outlineLevel="0" collapsed="false">
      <c r="A85" s="20"/>
      <c r="B85" s="20"/>
      <c r="C85" s="20"/>
      <c r="D85" s="20"/>
      <c r="E85" s="18"/>
      <c r="F85" s="19"/>
      <c r="G85" s="13"/>
      <c r="H85" s="13"/>
      <c r="I85" s="19" t="str">
        <f aca="false">IF(H85="","",H85-F85)</f>
        <v/>
      </c>
      <c r="J85" s="30" t="str">
        <f aca="false">IF(H85="","",IF(H85&gt;0,I85/H85,""))</f>
        <v/>
      </c>
      <c r="K85" s="20"/>
      <c r="L85" s="20"/>
    </row>
    <row r="86" customFormat="false" ht="15" hidden="false" customHeight="true" outlineLevel="0" collapsed="false">
      <c r="A86" s="20"/>
      <c r="B86" s="20"/>
      <c r="C86" s="20"/>
      <c r="D86" s="20"/>
      <c r="E86" s="18"/>
      <c r="F86" s="19"/>
      <c r="G86" s="13"/>
      <c r="H86" s="13"/>
      <c r="I86" s="19" t="str">
        <f aca="false">IF(H86="","",H86-F86)</f>
        <v/>
      </c>
      <c r="J86" s="30" t="str">
        <f aca="false">IF(H86="","",IF(H86&gt;0,I86/H86,""))</f>
        <v/>
      </c>
      <c r="K86" s="20"/>
      <c r="L86" s="20"/>
    </row>
    <row r="87" customFormat="false" ht="15" hidden="false" customHeight="true" outlineLevel="0" collapsed="false">
      <c r="A87" s="20"/>
      <c r="B87" s="20"/>
      <c r="C87" s="20"/>
      <c r="D87" s="20"/>
      <c r="E87" s="18"/>
      <c r="F87" s="19"/>
      <c r="G87" s="13"/>
      <c r="H87" s="13"/>
      <c r="I87" s="19" t="str">
        <f aca="false">IF(H87="","",H87-F87)</f>
        <v/>
      </c>
      <c r="J87" s="30" t="str">
        <f aca="false">IF(H87="","",IF(H87&gt;0,I87/H87,""))</f>
        <v/>
      </c>
      <c r="K87" s="20"/>
      <c r="L87" s="20"/>
    </row>
    <row r="88" customFormat="false" ht="15" hidden="false" customHeight="true" outlineLevel="0" collapsed="false">
      <c r="A88" s="20"/>
      <c r="B88" s="20"/>
      <c r="C88" s="20"/>
      <c r="D88" s="20"/>
      <c r="E88" s="18"/>
      <c r="F88" s="19"/>
      <c r="G88" s="13"/>
      <c r="H88" s="13"/>
      <c r="I88" s="19" t="str">
        <f aca="false">IF(H88="","",H88-F88)</f>
        <v/>
      </c>
      <c r="J88" s="30" t="str">
        <f aca="false">IF(H88="","",IF(H88&gt;0,I88/H88,""))</f>
        <v/>
      </c>
      <c r="K88" s="20"/>
      <c r="L88" s="20"/>
    </row>
    <row r="89" customFormat="false" ht="15" hidden="false" customHeight="true" outlineLevel="0" collapsed="false">
      <c r="A89" s="20"/>
      <c r="B89" s="20"/>
      <c r="C89" s="20"/>
      <c r="D89" s="20"/>
      <c r="E89" s="18"/>
      <c r="F89" s="19"/>
      <c r="G89" s="13"/>
      <c r="H89" s="13"/>
      <c r="I89" s="19" t="str">
        <f aca="false">IF(H89="","",H89-F89)</f>
        <v/>
      </c>
      <c r="J89" s="30" t="str">
        <f aca="false">IF(H89="","",IF(H89&gt;0,I89/H89,""))</f>
        <v/>
      </c>
      <c r="K89" s="20"/>
      <c r="L89" s="20"/>
    </row>
    <row r="90" customFormat="false" ht="15" hidden="false" customHeight="true" outlineLevel="0" collapsed="false">
      <c r="A90" s="20"/>
      <c r="B90" s="20"/>
      <c r="C90" s="20"/>
      <c r="D90" s="20"/>
      <c r="E90" s="18"/>
      <c r="F90" s="19"/>
      <c r="G90" s="13"/>
      <c r="H90" s="13"/>
      <c r="I90" s="19" t="str">
        <f aca="false">IF(H90="","",H90-F90)</f>
        <v/>
      </c>
      <c r="J90" s="30" t="str">
        <f aca="false">IF(H90="","",IF(H90&gt;0,I90/H90,""))</f>
        <v/>
      </c>
      <c r="K90" s="20"/>
      <c r="L90" s="20"/>
    </row>
    <row r="91" customFormat="false" ht="15" hidden="false" customHeight="true" outlineLevel="0" collapsed="false">
      <c r="A91" s="20"/>
      <c r="B91" s="20"/>
      <c r="C91" s="20"/>
      <c r="D91" s="20"/>
      <c r="E91" s="18"/>
      <c r="F91" s="19"/>
      <c r="G91" s="13"/>
      <c r="H91" s="13"/>
      <c r="I91" s="19" t="str">
        <f aca="false">IF(H91="","",H91-F91)</f>
        <v/>
      </c>
      <c r="J91" s="30" t="str">
        <f aca="false">IF(H91="","",IF(H91&gt;0,I91/H91,""))</f>
        <v/>
      </c>
      <c r="K91" s="20"/>
      <c r="L91" s="20"/>
    </row>
    <row r="92" customFormat="false" ht="15" hidden="false" customHeight="true" outlineLevel="0" collapsed="false">
      <c r="A92" s="20"/>
      <c r="B92" s="20"/>
      <c r="C92" s="20"/>
      <c r="D92" s="20"/>
      <c r="E92" s="18"/>
      <c r="F92" s="19"/>
      <c r="G92" s="13"/>
      <c r="H92" s="13"/>
      <c r="I92" s="19" t="str">
        <f aca="false">IF(H92="","",H92-F92)</f>
        <v/>
      </c>
      <c r="J92" s="30" t="str">
        <f aca="false">IF(H92="","",IF(H92&gt;0,I92/H92,""))</f>
        <v/>
      </c>
      <c r="K92" s="20"/>
      <c r="L92" s="20"/>
    </row>
    <row r="93" customFormat="false" ht="15" hidden="false" customHeight="true" outlineLevel="0" collapsed="false">
      <c r="A93" s="20"/>
      <c r="B93" s="20"/>
      <c r="C93" s="20"/>
      <c r="D93" s="20"/>
      <c r="E93" s="18"/>
      <c r="F93" s="19"/>
      <c r="G93" s="13"/>
      <c r="H93" s="13"/>
      <c r="I93" s="19" t="str">
        <f aca="false">IF(H93="","",H93-F93)</f>
        <v/>
      </c>
      <c r="J93" s="30" t="str">
        <f aca="false">IF(H93="","",IF(H93&gt;0,I93/H93,""))</f>
        <v/>
      </c>
      <c r="K93" s="20"/>
      <c r="L93" s="20"/>
    </row>
    <row r="94" customFormat="false" ht="15" hidden="false" customHeight="true" outlineLevel="0" collapsed="false">
      <c r="A94" s="20"/>
      <c r="B94" s="20"/>
      <c r="C94" s="20"/>
      <c r="D94" s="20"/>
      <c r="E94" s="18"/>
      <c r="F94" s="19"/>
      <c r="G94" s="13"/>
      <c r="H94" s="13"/>
      <c r="I94" s="19" t="str">
        <f aca="false">IF(H94="","",H94-F94)</f>
        <v/>
      </c>
      <c r="J94" s="30" t="str">
        <f aca="false">IF(H94="","",IF(H94&gt;0,I94/H94,""))</f>
        <v/>
      </c>
      <c r="K94" s="20"/>
      <c r="L94" s="20"/>
    </row>
    <row r="95" customFormat="false" ht="15" hidden="false" customHeight="true" outlineLevel="0" collapsed="false">
      <c r="A95" s="20"/>
      <c r="B95" s="20"/>
      <c r="C95" s="20"/>
      <c r="D95" s="20"/>
      <c r="E95" s="18"/>
      <c r="F95" s="19"/>
      <c r="G95" s="13"/>
      <c r="H95" s="13"/>
      <c r="I95" s="19" t="str">
        <f aca="false">IF(H95="","",H95-F95)</f>
        <v/>
      </c>
      <c r="J95" s="30" t="str">
        <f aca="false">IF(H95="","",IF(H95&gt;0,I95/H95,""))</f>
        <v/>
      </c>
      <c r="K95" s="20"/>
      <c r="L95" s="20"/>
    </row>
    <row r="96" customFormat="false" ht="15" hidden="false" customHeight="true" outlineLevel="0" collapsed="false">
      <c r="A96" s="20"/>
      <c r="B96" s="20"/>
      <c r="C96" s="20"/>
      <c r="D96" s="20"/>
      <c r="E96" s="18"/>
      <c r="F96" s="19"/>
      <c r="G96" s="13"/>
      <c r="H96" s="13"/>
      <c r="I96" s="19" t="str">
        <f aca="false">IF(H96="","",H96-F96)</f>
        <v/>
      </c>
      <c r="J96" s="30" t="str">
        <f aca="false">IF(H96="","",IF(H96&gt;0,I96/H96,""))</f>
        <v/>
      </c>
      <c r="K96" s="20"/>
      <c r="L96" s="20"/>
    </row>
    <row r="97" customFormat="false" ht="15" hidden="false" customHeight="true" outlineLevel="0" collapsed="false">
      <c r="A97" s="20"/>
      <c r="B97" s="20"/>
      <c r="C97" s="20"/>
      <c r="D97" s="20"/>
      <c r="E97" s="18"/>
      <c r="F97" s="19"/>
      <c r="G97" s="13"/>
      <c r="H97" s="13"/>
      <c r="I97" s="19" t="str">
        <f aca="false">IF(H97="","",H97-F97)</f>
        <v/>
      </c>
      <c r="J97" s="30" t="str">
        <f aca="false">IF(H97="","",IF(H97&gt;0,I97/H97,""))</f>
        <v/>
      </c>
      <c r="K97" s="20"/>
      <c r="L97" s="20"/>
    </row>
    <row r="98" customFormat="false" ht="15" hidden="false" customHeight="true" outlineLevel="0" collapsed="false">
      <c r="A98" s="20"/>
      <c r="B98" s="20"/>
      <c r="C98" s="20"/>
      <c r="D98" s="20"/>
      <c r="E98" s="18"/>
      <c r="F98" s="19"/>
      <c r="G98" s="13"/>
      <c r="H98" s="13"/>
      <c r="I98" s="19" t="str">
        <f aca="false">IF(H98="","",H98-F98)</f>
        <v/>
      </c>
      <c r="J98" s="30" t="str">
        <f aca="false">IF(H98="","",IF(H98&gt;0,I98/H98,""))</f>
        <v/>
      </c>
      <c r="K98" s="20"/>
      <c r="L98" s="20"/>
    </row>
    <row r="99" customFormat="false" ht="15" hidden="false" customHeight="true" outlineLevel="0" collapsed="false">
      <c r="A99" s="20"/>
      <c r="B99" s="20"/>
      <c r="C99" s="20"/>
      <c r="D99" s="20"/>
      <c r="E99" s="18"/>
      <c r="F99" s="19"/>
      <c r="G99" s="13"/>
      <c r="H99" s="13"/>
      <c r="I99" s="19" t="str">
        <f aca="false">IF(H99="","",H99-F99)</f>
        <v/>
      </c>
      <c r="J99" s="30" t="str">
        <f aca="false">IF(H99="","",IF(H99&gt;0,I99/H99,""))</f>
        <v/>
      </c>
      <c r="K99" s="20"/>
      <c r="L99" s="20"/>
    </row>
    <row r="100" customFormat="false" ht="15" hidden="false" customHeight="true" outlineLevel="0" collapsed="false">
      <c r="A100" s="20"/>
      <c r="B100" s="20"/>
      <c r="C100" s="20"/>
      <c r="D100" s="20"/>
      <c r="E100" s="18"/>
      <c r="F100" s="19"/>
      <c r="G100" s="13"/>
      <c r="H100" s="13"/>
      <c r="I100" s="19" t="str">
        <f aca="false">IF(H100="","",H100-F100)</f>
        <v/>
      </c>
      <c r="J100" s="30" t="str">
        <f aca="false">IF(H100="","",IF(H100&gt;0,I100/H100,""))</f>
        <v/>
      </c>
      <c r="K100" s="20"/>
      <c r="L100" s="20"/>
    </row>
    <row r="101" customFormat="false" ht="15" hidden="false" customHeight="true" outlineLevel="0" collapsed="false">
      <c r="A101" s="20"/>
      <c r="B101" s="20"/>
      <c r="C101" s="20"/>
      <c r="D101" s="20"/>
      <c r="E101" s="18"/>
      <c r="F101" s="19"/>
      <c r="G101" s="13"/>
      <c r="H101" s="13"/>
      <c r="I101" s="19" t="str">
        <f aca="false">IF(H101="","",H101-F101)</f>
        <v/>
      </c>
      <c r="J101" s="30" t="str">
        <f aca="false">IF(H101="","",IF(H101&gt;0,I101/H101,""))</f>
        <v/>
      </c>
      <c r="K101" s="20"/>
      <c r="L101" s="20"/>
    </row>
    <row r="102" customFormat="false" ht="15" hidden="false" customHeight="true" outlineLevel="0" collapsed="false">
      <c r="A102" s="20"/>
      <c r="B102" s="20"/>
      <c r="C102" s="20"/>
      <c r="D102" s="20"/>
      <c r="E102" s="18"/>
      <c r="F102" s="19"/>
      <c r="G102" s="13"/>
      <c r="H102" s="13"/>
      <c r="I102" s="19" t="str">
        <f aca="false">IF(H102="","",H102-F102)</f>
        <v/>
      </c>
      <c r="J102" s="30" t="str">
        <f aca="false">IF(H102="","",IF(H102&gt;0,I102/H102,""))</f>
        <v/>
      </c>
      <c r="K102" s="20"/>
      <c r="L102" s="20"/>
    </row>
    <row r="103" customFormat="false" ht="15" hidden="false" customHeight="true" outlineLevel="0" collapsed="false">
      <c r="A103" s="20"/>
      <c r="B103" s="20"/>
      <c r="C103" s="20"/>
      <c r="D103" s="20"/>
      <c r="E103" s="18"/>
      <c r="F103" s="19"/>
      <c r="G103" s="13"/>
      <c r="H103" s="13"/>
      <c r="I103" s="19" t="str">
        <f aca="false">IF(H103="","",H103-F103)</f>
        <v/>
      </c>
      <c r="J103" s="30" t="str">
        <f aca="false">IF(H103="","",IF(H103&gt;0,I103/H103,""))</f>
        <v/>
      </c>
      <c r="K103" s="20"/>
      <c r="L103" s="20"/>
    </row>
    <row r="104" customFormat="false" ht="15" hidden="false" customHeight="true" outlineLevel="0" collapsed="false">
      <c r="A104" s="20"/>
      <c r="B104" s="20"/>
      <c r="C104" s="20"/>
      <c r="D104" s="20"/>
      <c r="E104" s="18"/>
      <c r="F104" s="19"/>
      <c r="G104" s="13"/>
      <c r="H104" s="13"/>
      <c r="I104" s="19" t="str">
        <f aca="false">IF(H104="","",H104-F104)</f>
        <v/>
      </c>
      <c r="J104" s="30" t="str">
        <f aca="false">IF(H104="","",IF(H104&gt;0,I104/H104,""))</f>
        <v/>
      </c>
      <c r="K104" s="20"/>
      <c r="L104" s="20"/>
    </row>
    <row r="105" customFormat="false" ht="15" hidden="false" customHeight="true" outlineLevel="0" collapsed="false">
      <c r="A105" s="20"/>
      <c r="B105" s="20"/>
      <c r="C105" s="20"/>
      <c r="D105" s="20"/>
      <c r="E105" s="18"/>
      <c r="F105" s="19"/>
      <c r="G105" s="13"/>
      <c r="H105" s="13"/>
      <c r="I105" s="19" t="str">
        <f aca="false">IF(H105="","",H105-F105)</f>
        <v/>
      </c>
      <c r="J105" s="30" t="str">
        <f aca="false">IF(H105="","",IF(H105&gt;0,I105/H105,""))</f>
        <v/>
      </c>
      <c r="K105" s="20"/>
      <c r="L105" s="20"/>
    </row>
    <row r="106" customFormat="false" ht="15" hidden="false" customHeight="true" outlineLevel="0" collapsed="false">
      <c r="A106" s="20"/>
      <c r="B106" s="20"/>
      <c r="C106" s="20"/>
      <c r="D106" s="20"/>
      <c r="E106" s="18"/>
      <c r="F106" s="19"/>
      <c r="G106" s="13"/>
      <c r="H106" s="13"/>
      <c r="I106" s="19" t="str">
        <f aca="false">IF(H106="","",H106-F106)</f>
        <v/>
      </c>
      <c r="J106" s="30" t="str">
        <f aca="false">IF(H106="","",IF(H106&gt;0,I106/H106,""))</f>
        <v/>
      </c>
      <c r="K106" s="20"/>
      <c r="L106" s="20"/>
    </row>
    <row r="107" customFormat="false" ht="15" hidden="false" customHeight="true" outlineLevel="0" collapsed="false">
      <c r="A107" s="20"/>
      <c r="B107" s="20"/>
      <c r="C107" s="20"/>
      <c r="D107" s="20"/>
      <c r="E107" s="18"/>
      <c r="F107" s="19"/>
      <c r="G107" s="13"/>
      <c r="H107" s="13"/>
      <c r="I107" s="19" t="str">
        <f aca="false">IF(H107="","",H107-F107)</f>
        <v/>
      </c>
      <c r="J107" s="30" t="str">
        <f aca="false">IF(H107="","",IF(H107&gt;0,I107/H107,""))</f>
        <v/>
      </c>
      <c r="K107" s="20"/>
      <c r="L107" s="20"/>
    </row>
    <row r="108" customFormat="false" ht="15" hidden="false" customHeight="true" outlineLevel="0" collapsed="false">
      <c r="A108" s="20"/>
      <c r="B108" s="20"/>
      <c r="C108" s="20"/>
      <c r="D108" s="20"/>
      <c r="E108" s="18"/>
      <c r="F108" s="19"/>
      <c r="G108" s="13"/>
      <c r="H108" s="13"/>
      <c r="I108" s="19" t="str">
        <f aca="false">IF(H108="","",H108-F108)</f>
        <v/>
      </c>
      <c r="J108" s="30" t="str">
        <f aca="false">IF(H108="","",IF(H108&gt;0,I108/H108,""))</f>
        <v/>
      </c>
      <c r="K108" s="20"/>
      <c r="L108" s="20"/>
    </row>
    <row r="109" customFormat="false" ht="15" hidden="false" customHeight="true" outlineLevel="0" collapsed="false">
      <c r="A109" s="20"/>
      <c r="B109" s="20"/>
      <c r="C109" s="20"/>
      <c r="D109" s="20"/>
      <c r="E109" s="18"/>
      <c r="F109" s="19"/>
      <c r="G109" s="13"/>
      <c r="H109" s="13"/>
      <c r="I109" s="19" t="str">
        <f aca="false">IF(H109="","",H109-F109)</f>
        <v/>
      </c>
      <c r="J109" s="30" t="str">
        <f aca="false">IF(H109="","",IF(H109&gt;0,I109/H109,""))</f>
        <v/>
      </c>
      <c r="K109" s="20"/>
      <c r="L109" s="20"/>
    </row>
    <row r="110" customFormat="false" ht="15" hidden="false" customHeight="true" outlineLevel="0" collapsed="false">
      <c r="A110" s="20"/>
      <c r="B110" s="20"/>
      <c r="C110" s="20"/>
      <c r="D110" s="20"/>
      <c r="E110" s="18"/>
      <c r="F110" s="19"/>
      <c r="G110" s="13"/>
      <c r="H110" s="13"/>
      <c r="I110" s="19" t="str">
        <f aca="false">IF(H110="","",H110-F110)</f>
        <v/>
      </c>
      <c r="J110" s="30" t="str">
        <f aca="false">IF(H110="","",IF(H110&gt;0,I110/H110,""))</f>
        <v/>
      </c>
      <c r="K110" s="20"/>
      <c r="L110" s="20"/>
    </row>
    <row r="111" customFormat="false" ht="15" hidden="false" customHeight="true" outlineLevel="0" collapsed="false">
      <c r="A111" s="20"/>
      <c r="B111" s="20"/>
      <c r="C111" s="20"/>
      <c r="D111" s="20"/>
      <c r="E111" s="18"/>
      <c r="F111" s="19"/>
      <c r="G111" s="13"/>
      <c r="H111" s="13"/>
      <c r="I111" s="19" t="str">
        <f aca="false">IF(H111="","",H111-F111)</f>
        <v/>
      </c>
      <c r="J111" s="30" t="str">
        <f aca="false">IF(H111="","",IF(H111&gt;0,I111/H111,""))</f>
        <v/>
      </c>
      <c r="K111" s="20"/>
      <c r="L111" s="20"/>
    </row>
    <row r="112" customFormat="false" ht="15" hidden="false" customHeight="true" outlineLevel="0" collapsed="false">
      <c r="A112" s="20"/>
      <c r="B112" s="20"/>
      <c r="C112" s="20"/>
      <c r="D112" s="20"/>
      <c r="E112" s="18"/>
      <c r="F112" s="19"/>
      <c r="G112" s="13"/>
      <c r="H112" s="13"/>
      <c r="I112" s="19" t="str">
        <f aca="false">IF(H112="","",H112-F112)</f>
        <v/>
      </c>
      <c r="J112" s="30" t="str">
        <f aca="false">IF(H112="","",IF(H112&gt;0,I112/H112,""))</f>
        <v/>
      </c>
      <c r="K112" s="20"/>
      <c r="L112" s="20"/>
    </row>
    <row r="113" customFormat="false" ht="15" hidden="false" customHeight="true" outlineLevel="0" collapsed="false">
      <c r="A113" s="20"/>
      <c r="B113" s="20"/>
      <c r="C113" s="20"/>
      <c r="D113" s="20"/>
      <c r="E113" s="18"/>
      <c r="F113" s="19"/>
      <c r="G113" s="13"/>
      <c r="H113" s="13"/>
      <c r="I113" s="19" t="str">
        <f aca="false">IF(H113="","",H113-F113)</f>
        <v/>
      </c>
      <c r="J113" s="30" t="str">
        <f aca="false">IF(H113="","",IF(H113&gt;0,I113/H113,""))</f>
        <v/>
      </c>
      <c r="K113" s="20"/>
      <c r="L113" s="20"/>
    </row>
    <row r="114" customFormat="false" ht="15" hidden="false" customHeight="true" outlineLevel="0" collapsed="false">
      <c r="A114" s="20"/>
      <c r="B114" s="20"/>
      <c r="C114" s="20"/>
      <c r="D114" s="20"/>
      <c r="E114" s="18"/>
      <c r="F114" s="19"/>
      <c r="G114" s="13"/>
      <c r="H114" s="13"/>
      <c r="I114" s="19" t="str">
        <f aca="false">IF(H114="","",H114-F114)</f>
        <v/>
      </c>
      <c r="J114" s="30" t="str">
        <f aca="false">IF(H114="","",IF(H114&gt;0,I114/H114,""))</f>
        <v/>
      </c>
      <c r="K114" s="20"/>
      <c r="L114" s="20"/>
    </row>
    <row r="115" customFormat="false" ht="15" hidden="false" customHeight="true" outlineLevel="0" collapsed="false">
      <c r="A115" s="20"/>
      <c r="B115" s="20"/>
      <c r="C115" s="20"/>
      <c r="D115" s="20"/>
      <c r="E115" s="18"/>
      <c r="F115" s="19"/>
      <c r="G115" s="13"/>
      <c r="H115" s="13"/>
      <c r="I115" s="19" t="str">
        <f aca="false">IF(H115="","",H115-F115)</f>
        <v/>
      </c>
      <c r="J115" s="30" t="str">
        <f aca="false">IF(H115="","",IF(H115&gt;0,I115/H115,""))</f>
        <v/>
      </c>
      <c r="K115" s="20"/>
      <c r="L115" s="20"/>
    </row>
    <row r="116" customFormat="false" ht="15" hidden="false" customHeight="true" outlineLevel="0" collapsed="false">
      <c r="A116" s="20"/>
      <c r="B116" s="20"/>
      <c r="C116" s="20"/>
      <c r="D116" s="20"/>
      <c r="E116" s="18"/>
      <c r="F116" s="19"/>
      <c r="G116" s="13"/>
      <c r="H116" s="13"/>
      <c r="I116" s="19" t="str">
        <f aca="false">IF(H116="","",H116-F116)</f>
        <v/>
      </c>
      <c r="J116" s="30" t="str">
        <f aca="false">IF(H116="","",IF(H116&gt;0,I116/H116,""))</f>
        <v/>
      </c>
      <c r="K116" s="20"/>
      <c r="L116" s="20"/>
    </row>
    <row r="117" customFormat="false" ht="15" hidden="false" customHeight="true" outlineLevel="0" collapsed="false">
      <c r="A117" s="20"/>
      <c r="B117" s="20"/>
      <c r="C117" s="20"/>
      <c r="D117" s="20"/>
      <c r="E117" s="18"/>
      <c r="F117" s="19"/>
      <c r="G117" s="13"/>
      <c r="H117" s="13"/>
      <c r="I117" s="19" t="str">
        <f aca="false">IF(H117="","",H117-F117)</f>
        <v/>
      </c>
      <c r="J117" s="30" t="str">
        <f aca="false">IF(H117="","",IF(H117&gt;0,I117/H117,""))</f>
        <v/>
      </c>
      <c r="K117" s="20"/>
      <c r="L117" s="20"/>
    </row>
    <row r="118" customFormat="false" ht="15" hidden="false" customHeight="true" outlineLevel="0" collapsed="false">
      <c r="A118" s="20"/>
      <c r="B118" s="20"/>
      <c r="C118" s="20"/>
      <c r="D118" s="20"/>
      <c r="E118" s="18"/>
      <c r="F118" s="19"/>
      <c r="G118" s="13"/>
      <c r="H118" s="13"/>
      <c r="I118" s="19" t="str">
        <f aca="false">IF(H118="","",H118-F118)</f>
        <v/>
      </c>
      <c r="J118" s="30" t="str">
        <f aca="false">IF(H118="","",IF(H118&gt;0,I118/H118,""))</f>
        <v/>
      </c>
      <c r="K118" s="20"/>
      <c r="L118" s="20"/>
    </row>
    <row r="119" customFormat="false" ht="15" hidden="false" customHeight="true" outlineLevel="0" collapsed="false">
      <c r="A119" s="20"/>
      <c r="B119" s="20"/>
      <c r="C119" s="20"/>
      <c r="D119" s="20"/>
      <c r="E119" s="18"/>
      <c r="F119" s="19"/>
      <c r="G119" s="13"/>
      <c r="H119" s="13"/>
      <c r="I119" s="19" t="str">
        <f aca="false">IF(H119="","",H119-F119)</f>
        <v/>
      </c>
      <c r="J119" s="30" t="str">
        <f aca="false">IF(H119="","",IF(H119&gt;0,I119/H119,""))</f>
        <v/>
      </c>
      <c r="K119" s="20"/>
      <c r="L119" s="20"/>
    </row>
    <row r="120" customFormat="false" ht="15" hidden="false" customHeight="true" outlineLevel="0" collapsed="false">
      <c r="A120" s="20"/>
      <c r="B120" s="20"/>
      <c r="C120" s="20"/>
      <c r="D120" s="20"/>
      <c r="E120" s="18"/>
      <c r="F120" s="19"/>
      <c r="G120" s="13"/>
      <c r="H120" s="13"/>
      <c r="I120" s="19" t="str">
        <f aca="false">IF(H120="","",H120-F120)</f>
        <v/>
      </c>
      <c r="J120" s="30" t="str">
        <f aca="false">IF(H120="","",IF(H120&gt;0,I120/H120,""))</f>
        <v/>
      </c>
      <c r="K120" s="20"/>
      <c r="L120" s="20"/>
    </row>
    <row r="121" customFormat="false" ht="15" hidden="false" customHeight="true" outlineLevel="0" collapsed="false">
      <c r="A121" s="20"/>
      <c r="B121" s="20"/>
      <c r="C121" s="20"/>
      <c r="D121" s="20"/>
      <c r="E121" s="18"/>
      <c r="F121" s="19"/>
      <c r="G121" s="13"/>
      <c r="H121" s="13"/>
      <c r="I121" s="19" t="str">
        <f aca="false">IF(H121="","",H121-F121)</f>
        <v/>
      </c>
      <c r="J121" s="30" t="str">
        <f aca="false">IF(H121="","",IF(H121&gt;0,I121/H121,""))</f>
        <v/>
      </c>
      <c r="K121" s="20"/>
      <c r="L121" s="20"/>
    </row>
    <row r="122" customFormat="false" ht="15" hidden="false" customHeight="true" outlineLevel="0" collapsed="false">
      <c r="A122" s="20"/>
      <c r="B122" s="20"/>
      <c r="C122" s="20"/>
      <c r="D122" s="20"/>
      <c r="E122" s="18"/>
      <c r="F122" s="19"/>
      <c r="G122" s="13"/>
      <c r="H122" s="13"/>
      <c r="I122" s="19" t="str">
        <f aca="false">IF(H122="","",H122-F122)</f>
        <v/>
      </c>
      <c r="J122" s="30" t="str">
        <f aca="false">IF(H122="","",IF(H122&gt;0,I122/H122,""))</f>
        <v/>
      </c>
      <c r="K122" s="20"/>
      <c r="L122" s="20"/>
    </row>
    <row r="123" customFormat="false" ht="15" hidden="false" customHeight="true" outlineLevel="0" collapsed="false">
      <c r="A123" s="20"/>
      <c r="B123" s="20"/>
      <c r="C123" s="20"/>
      <c r="D123" s="20"/>
      <c r="E123" s="18"/>
      <c r="F123" s="19"/>
      <c r="G123" s="13"/>
      <c r="H123" s="13"/>
      <c r="I123" s="19" t="str">
        <f aca="false">IF(H123="","",H123-F123)</f>
        <v/>
      </c>
      <c r="J123" s="30" t="str">
        <f aca="false">IF(H123="","",IF(H123&gt;0,I123/H123,""))</f>
        <v/>
      </c>
      <c r="K123" s="20"/>
      <c r="L123" s="20"/>
    </row>
    <row r="124" customFormat="false" ht="15" hidden="false" customHeight="true" outlineLevel="0" collapsed="false">
      <c r="A124" s="20"/>
      <c r="B124" s="20"/>
      <c r="C124" s="20"/>
      <c r="D124" s="20"/>
      <c r="E124" s="18"/>
      <c r="F124" s="19"/>
      <c r="G124" s="13"/>
      <c r="H124" s="13"/>
      <c r="I124" s="19" t="str">
        <f aca="false">IF(H124="","",H124-F124)</f>
        <v/>
      </c>
      <c r="J124" s="30" t="str">
        <f aca="false">IF(H124="","",IF(H124&gt;0,I124/H124,""))</f>
        <v/>
      </c>
      <c r="K124" s="20"/>
      <c r="L124" s="20"/>
    </row>
    <row r="125" customFormat="false" ht="15" hidden="false" customHeight="true" outlineLevel="0" collapsed="false">
      <c r="A125" s="20"/>
      <c r="B125" s="20"/>
      <c r="C125" s="20"/>
      <c r="D125" s="20"/>
      <c r="E125" s="18"/>
      <c r="F125" s="19"/>
      <c r="G125" s="13"/>
      <c r="H125" s="13"/>
      <c r="I125" s="19" t="str">
        <f aca="false">IF(H125="","",H125-F125)</f>
        <v/>
      </c>
      <c r="J125" s="30" t="str">
        <f aca="false">IF(H125="","",IF(H125&gt;0,I125/H125,""))</f>
        <v/>
      </c>
      <c r="K125" s="20"/>
      <c r="L125" s="20"/>
    </row>
    <row r="126" customFormat="false" ht="15" hidden="false" customHeight="true" outlineLevel="0" collapsed="false">
      <c r="A126" s="20"/>
      <c r="B126" s="20"/>
      <c r="C126" s="20"/>
      <c r="D126" s="20"/>
      <c r="E126" s="18"/>
      <c r="F126" s="19"/>
      <c r="G126" s="13"/>
      <c r="H126" s="13"/>
      <c r="I126" s="19" t="str">
        <f aca="false">IF(H126="","",H126-F126)</f>
        <v/>
      </c>
      <c r="J126" s="30" t="str">
        <f aca="false">IF(H126="","",IF(H126&gt;0,I126/H126,""))</f>
        <v/>
      </c>
      <c r="K126" s="20"/>
      <c r="L126" s="20"/>
    </row>
    <row r="127" customFormat="false" ht="15" hidden="false" customHeight="true" outlineLevel="0" collapsed="false">
      <c r="A127" s="20"/>
      <c r="B127" s="20"/>
      <c r="C127" s="20"/>
      <c r="D127" s="20"/>
      <c r="E127" s="18"/>
      <c r="F127" s="19"/>
      <c r="G127" s="13"/>
      <c r="H127" s="13"/>
      <c r="I127" s="19" t="str">
        <f aca="false">IF(H127="","",H127-F127)</f>
        <v/>
      </c>
      <c r="J127" s="30" t="str">
        <f aca="false">IF(H127="","",IF(H127&gt;0,I127/H127,""))</f>
        <v/>
      </c>
      <c r="K127" s="20"/>
      <c r="L127" s="20"/>
    </row>
    <row r="128" customFormat="false" ht="15" hidden="false" customHeight="true" outlineLevel="0" collapsed="false">
      <c r="A128" s="20"/>
      <c r="B128" s="20"/>
      <c r="C128" s="20"/>
      <c r="D128" s="20"/>
      <c r="E128" s="18"/>
      <c r="F128" s="19"/>
      <c r="G128" s="13"/>
      <c r="H128" s="13"/>
      <c r="I128" s="19" t="str">
        <f aca="false">IF(H128="","",H128-F128)</f>
        <v/>
      </c>
      <c r="J128" s="30" t="str">
        <f aca="false">IF(H128="","",IF(H128&gt;0,I128/H128,""))</f>
        <v/>
      </c>
      <c r="K128" s="20"/>
      <c r="L128" s="20"/>
    </row>
    <row r="129" customFormat="false" ht="15" hidden="false" customHeight="true" outlineLevel="0" collapsed="false">
      <c r="A129" s="20"/>
      <c r="B129" s="20"/>
      <c r="C129" s="20"/>
      <c r="D129" s="20"/>
      <c r="E129" s="18"/>
      <c r="F129" s="19"/>
      <c r="G129" s="13"/>
      <c r="H129" s="13"/>
      <c r="I129" s="19" t="str">
        <f aca="false">IF(H129="","",H129-F129)</f>
        <v/>
      </c>
      <c r="J129" s="30" t="str">
        <f aca="false">IF(H129="","",IF(H129&gt;0,I129/H129,""))</f>
        <v/>
      </c>
      <c r="K129" s="20"/>
      <c r="L129" s="20"/>
    </row>
    <row r="130" customFormat="false" ht="15" hidden="false" customHeight="true" outlineLevel="0" collapsed="false">
      <c r="A130" s="20"/>
      <c r="B130" s="20"/>
      <c r="C130" s="20"/>
      <c r="D130" s="20"/>
      <c r="E130" s="18"/>
      <c r="F130" s="19"/>
      <c r="G130" s="13"/>
      <c r="H130" s="13"/>
      <c r="I130" s="19" t="str">
        <f aca="false">IF(H130="","",H130-F130)</f>
        <v/>
      </c>
      <c r="J130" s="30" t="str">
        <f aca="false">IF(H130="","",IF(H130&gt;0,I130/H130,""))</f>
        <v/>
      </c>
      <c r="K130" s="20"/>
      <c r="L130" s="20"/>
    </row>
    <row r="131" customFormat="false" ht="15" hidden="false" customHeight="true" outlineLevel="0" collapsed="false">
      <c r="A131" s="20"/>
      <c r="B131" s="20"/>
      <c r="C131" s="20"/>
      <c r="D131" s="20"/>
      <c r="E131" s="18"/>
      <c r="F131" s="19"/>
      <c r="G131" s="13"/>
      <c r="H131" s="13"/>
      <c r="I131" s="19" t="str">
        <f aca="false">IF(H131="","",H131-F131)</f>
        <v/>
      </c>
      <c r="J131" s="30" t="str">
        <f aca="false">IF(H131="","",IF(H131&gt;0,I131/H131,""))</f>
        <v/>
      </c>
      <c r="K131" s="20"/>
      <c r="L131" s="20"/>
    </row>
    <row r="132" customFormat="false" ht="15" hidden="false" customHeight="true" outlineLevel="0" collapsed="false">
      <c r="A132" s="20"/>
      <c r="B132" s="20"/>
      <c r="C132" s="20"/>
      <c r="D132" s="20"/>
      <c r="E132" s="18"/>
      <c r="F132" s="19"/>
      <c r="G132" s="13"/>
      <c r="H132" s="13"/>
      <c r="I132" s="19" t="str">
        <f aca="false">IF(H132="","",H132-F132)</f>
        <v/>
      </c>
      <c r="J132" s="30" t="str">
        <f aca="false">IF(H132="","",IF(H132&gt;0,I132/H132,""))</f>
        <v/>
      </c>
      <c r="K132" s="20"/>
      <c r="L132" s="20"/>
    </row>
    <row r="133" customFormat="false" ht="15" hidden="false" customHeight="true" outlineLevel="0" collapsed="false">
      <c r="A133" s="20"/>
      <c r="B133" s="20"/>
      <c r="C133" s="20"/>
      <c r="D133" s="20"/>
      <c r="E133" s="18"/>
      <c r="F133" s="19"/>
      <c r="G133" s="13"/>
      <c r="H133" s="13"/>
      <c r="I133" s="19" t="str">
        <f aca="false">IF(H133="","",H133-F133)</f>
        <v/>
      </c>
      <c r="J133" s="30" t="str">
        <f aca="false">IF(H133="","",IF(H133&gt;0,I133/H133,""))</f>
        <v/>
      </c>
      <c r="K133" s="20"/>
      <c r="L133" s="20"/>
    </row>
    <row r="134" customFormat="false" ht="15" hidden="false" customHeight="true" outlineLevel="0" collapsed="false">
      <c r="A134" s="20"/>
      <c r="B134" s="20"/>
      <c r="C134" s="20"/>
      <c r="D134" s="20"/>
      <c r="E134" s="18"/>
      <c r="F134" s="19"/>
      <c r="G134" s="13"/>
      <c r="H134" s="13"/>
      <c r="I134" s="19" t="str">
        <f aca="false">IF(H134="","",H134-F134)</f>
        <v/>
      </c>
      <c r="J134" s="30" t="str">
        <f aca="false">IF(H134="","",IF(H134&gt;0,I134/H134,""))</f>
        <v/>
      </c>
      <c r="K134" s="20"/>
      <c r="L134" s="20"/>
    </row>
    <row r="135" customFormat="false" ht="15" hidden="false" customHeight="true" outlineLevel="0" collapsed="false">
      <c r="A135" s="20"/>
      <c r="B135" s="20"/>
      <c r="C135" s="20"/>
      <c r="D135" s="20"/>
      <c r="E135" s="18"/>
      <c r="F135" s="19"/>
      <c r="G135" s="13"/>
      <c r="H135" s="13"/>
      <c r="I135" s="19" t="str">
        <f aca="false">IF(H135="","",H135-F135)</f>
        <v/>
      </c>
      <c r="J135" s="30" t="str">
        <f aca="false">IF(H135="","",IF(H135&gt;0,I135/H135,""))</f>
        <v/>
      </c>
      <c r="K135" s="20"/>
      <c r="L135" s="20"/>
    </row>
    <row r="136" customFormat="false" ht="15" hidden="false" customHeight="true" outlineLevel="0" collapsed="false">
      <c r="A136" s="20"/>
      <c r="B136" s="20"/>
      <c r="C136" s="20"/>
      <c r="D136" s="20"/>
      <c r="E136" s="18"/>
      <c r="F136" s="19"/>
      <c r="G136" s="13"/>
      <c r="H136" s="13"/>
      <c r="I136" s="19" t="str">
        <f aca="false">IF(H136="","",H136-F136)</f>
        <v/>
      </c>
      <c r="J136" s="30" t="str">
        <f aca="false">IF(H136="","",IF(H136&gt;0,I136/H136,""))</f>
        <v/>
      </c>
      <c r="K136" s="20"/>
      <c r="L136" s="20"/>
    </row>
    <row r="137" customFormat="false" ht="15" hidden="false" customHeight="true" outlineLevel="0" collapsed="false">
      <c r="A137" s="20"/>
      <c r="B137" s="20"/>
      <c r="C137" s="20"/>
      <c r="D137" s="20"/>
      <c r="E137" s="18"/>
      <c r="F137" s="19"/>
      <c r="G137" s="13"/>
      <c r="H137" s="13"/>
      <c r="I137" s="19" t="str">
        <f aca="false">IF(H137="","",H137-F137)</f>
        <v/>
      </c>
      <c r="J137" s="30" t="str">
        <f aca="false">IF(H137="","",IF(H137&gt;0,I137/H137,""))</f>
        <v/>
      </c>
      <c r="K137" s="20"/>
      <c r="L137" s="20"/>
    </row>
    <row r="138" customFormat="false" ht="15" hidden="false" customHeight="true" outlineLevel="0" collapsed="false">
      <c r="A138" s="20"/>
      <c r="B138" s="20"/>
      <c r="C138" s="20"/>
      <c r="D138" s="20"/>
      <c r="E138" s="18"/>
      <c r="F138" s="19"/>
      <c r="G138" s="13"/>
      <c r="H138" s="13"/>
      <c r="I138" s="19" t="str">
        <f aca="false">IF(H138="","",H138-F138)</f>
        <v/>
      </c>
      <c r="J138" s="30" t="str">
        <f aca="false">IF(H138="","",IF(H138&gt;0,I138/H138,""))</f>
        <v/>
      </c>
      <c r="K138" s="20"/>
      <c r="L138" s="20"/>
    </row>
    <row r="139" customFormat="false" ht="15" hidden="false" customHeight="true" outlineLevel="0" collapsed="false">
      <c r="A139" s="20"/>
      <c r="B139" s="20"/>
      <c r="C139" s="20"/>
      <c r="D139" s="20"/>
      <c r="E139" s="18"/>
      <c r="F139" s="19"/>
      <c r="G139" s="13"/>
      <c r="H139" s="13"/>
      <c r="I139" s="19" t="str">
        <f aca="false">IF(H139="","",H139-F139)</f>
        <v/>
      </c>
      <c r="J139" s="30" t="str">
        <f aca="false">IF(H139="","",IF(H139&gt;0,I139/H139,""))</f>
        <v/>
      </c>
      <c r="K139" s="20"/>
      <c r="L139" s="20"/>
    </row>
    <row r="140" customFormat="false" ht="15" hidden="false" customHeight="true" outlineLevel="0" collapsed="false">
      <c r="A140" s="20"/>
      <c r="B140" s="20"/>
      <c r="C140" s="20"/>
      <c r="D140" s="20"/>
      <c r="E140" s="18"/>
      <c r="F140" s="19"/>
      <c r="G140" s="13"/>
      <c r="H140" s="13"/>
      <c r="I140" s="19" t="str">
        <f aca="false">IF(H140="","",H140-F140)</f>
        <v/>
      </c>
      <c r="J140" s="30" t="str">
        <f aca="false">IF(H140="","",IF(H140&gt;0,I140/H140,""))</f>
        <v/>
      </c>
      <c r="K140" s="20"/>
      <c r="L140" s="20"/>
    </row>
    <row r="141" customFormat="false" ht="15" hidden="false" customHeight="true" outlineLevel="0" collapsed="false">
      <c r="A141" s="20"/>
      <c r="B141" s="20"/>
      <c r="C141" s="20"/>
      <c r="D141" s="20"/>
      <c r="E141" s="18"/>
      <c r="F141" s="19"/>
      <c r="G141" s="13"/>
      <c r="H141" s="13"/>
      <c r="I141" s="19" t="str">
        <f aca="false">IF(H141="","",H141-F141)</f>
        <v/>
      </c>
      <c r="J141" s="30" t="str">
        <f aca="false">IF(H141="","",IF(H141&gt;0,I141/H141,""))</f>
        <v/>
      </c>
      <c r="K141" s="20"/>
      <c r="L141" s="20"/>
    </row>
    <row r="142" customFormat="false" ht="15" hidden="false" customHeight="true" outlineLevel="0" collapsed="false">
      <c r="A142" s="20"/>
      <c r="B142" s="20"/>
      <c r="C142" s="20"/>
      <c r="D142" s="20"/>
      <c r="E142" s="18"/>
      <c r="F142" s="19"/>
      <c r="G142" s="13"/>
      <c r="H142" s="13"/>
      <c r="I142" s="19" t="str">
        <f aca="false">IF(H142="","",H142-F142)</f>
        <v/>
      </c>
      <c r="J142" s="30" t="str">
        <f aca="false">IF(H142="","",IF(H142&gt;0,I142/H142,""))</f>
        <v/>
      </c>
      <c r="K142" s="20"/>
      <c r="L142" s="20"/>
    </row>
    <row r="143" customFormat="false" ht="15" hidden="false" customHeight="true" outlineLevel="0" collapsed="false">
      <c r="A143" s="20"/>
      <c r="B143" s="20"/>
      <c r="C143" s="20"/>
      <c r="D143" s="20"/>
      <c r="E143" s="18"/>
      <c r="F143" s="19"/>
      <c r="G143" s="13"/>
      <c r="H143" s="13"/>
      <c r="I143" s="19" t="str">
        <f aca="false">IF(H143="","",H143-F143)</f>
        <v/>
      </c>
      <c r="J143" s="30" t="str">
        <f aca="false">IF(H143="","",IF(H143&gt;0,I143/H143,""))</f>
        <v/>
      </c>
      <c r="K143" s="20"/>
      <c r="L143" s="20"/>
    </row>
    <row r="144" customFormat="false" ht="15" hidden="false" customHeight="true" outlineLevel="0" collapsed="false">
      <c r="A144" s="20"/>
      <c r="B144" s="20"/>
      <c r="C144" s="20"/>
      <c r="D144" s="20"/>
      <c r="E144" s="18"/>
      <c r="F144" s="19"/>
      <c r="G144" s="13"/>
      <c r="H144" s="13"/>
      <c r="I144" s="19" t="str">
        <f aca="false">IF(H144="","",H144-F144)</f>
        <v/>
      </c>
      <c r="J144" s="30" t="str">
        <f aca="false">IF(H144="","",IF(H144&gt;0,I144/H144,""))</f>
        <v/>
      </c>
      <c r="K144" s="20"/>
      <c r="L144" s="20"/>
    </row>
    <row r="145" customFormat="false" ht="15" hidden="false" customHeight="true" outlineLevel="0" collapsed="false">
      <c r="A145" s="20"/>
      <c r="B145" s="20"/>
      <c r="C145" s="20"/>
      <c r="D145" s="20"/>
      <c r="E145" s="18"/>
      <c r="F145" s="19"/>
      <c r="G145" s="13"/>
      <c r="H145" s="13"/>
      <c r="I145" s="19" t="str">
        <f aca="false">IF(H145="","",H145-F145)</f>
        <v/>
      </c>
      <c r="J145" s="30" t="str">
        <f aca="false">IF(H145="","",IF(H145&gt;0,I145/H145,""))</f>
        <v/>
      </c>
      <c r="K145" s="20"/>
      <c r="L145" s="20"/>
    </row>
    <row r="146" customFormat="false" ht="15" hidden="false" customHeight="true" outlineLevel="0" collapsed="false">
      <c r="A146" s="20"/>
      <c r="B146" s="20"/>
      <c r="C146" s="20"/>
      <c r="D146" s="20"/>
      <c r="E146" s="18"/>
      <c r="F146" s="19"/>
      <c r="G146" s="13"/>
      <c r="H146" s="13"/>
      <c r="I146" s="19" t="str">
        <f aca="false">IF(H146="","",H146-F146)</f>
        <v/>
      </c>
      <c r="J146" s="30" t="str">
        <f aca="false">IF(H146="","",IF(H146&gt;0,I146/H146,""))</f>
        <v/>
      </c>
      <c r="K146" s="20"/>
      <c r="L146" s="20"/>
    </row>
    <row r="147" customFormat="false" ht="15" hidden="false" customHeight="true" outlineLevel="0" collapsed="false">
      <c r="A147" s="20"/>
      <c r="B147" s="20"/>
      <c r="C147" s="20"/>
      <c r="D147" s="20"/>
      <c r="E147" s="18"/>
      <c r="F147" s="19"/>
      <c r="G147" s="13"/>
      <c r="H147" s="13"/>
      <c r="I147" s="19" t="str">
        <f aca="false">IF(H147="","",H147-F147)</f>
        <v/>
      </c>
      <c r="J147" s="30" t="str">
        <f aca="false">IF(H147="","",IF(H147&gt;0,I147/H147,""))</f>
        <v/>
      </c>
      <c r="K147" s="20"/>
      <c r="L147" s="20"/>
    </row>
    <row r="148" customFormat="false" ht="15" hidden="false" customHeight="true" outlineLevel="0" collapsed="false">
      <c r="A148" s="20"/>
      <c r="B148" s="20"/>
      <c r="C148" s="20"/>
      <c r="D148" s="20"/>
      <c r="E148" s="18"/>
      <c r="F148" s="19"/>
      <c r="G148" s="13"/>
      <c r="H148" s="13"/>
      <c r="I148" s="19" t="str">
        <f aca="false">IF(H148="","",H148-F148)</f>
        <v/>
      </c>
      <c r="J148" s="30" t="str">
        <f aca="false">IF(H148="","",IF(H148&gt;0,I148/H148,""))</f>
        <v/>
      </c>
      <c r="K148" s="20"/>
      <c r="L148" s="20"/>
    </row>
    <row r="149" customFormat="false" ht="15" hidden="false" customHeight="true" outlineLevel="0" collapsed="false">
      <c r="A149" s="20"/>
      <c r="B149" s="20"/>
      <c r="C149" s="20"/>
      <c r="D149" s="20"/>
      <c r="E149" s="18"/>
      <c r="F149" s="19"/>
      <c r="G149" s="13"/>
      <c r="H149" s="13"/>
      <c r="I149" s="19" t="str">
        <f aca="false">IF(H149="","",H149-F149)</f>
        <v/>
      </c>
      <c r="J149" s="30" t="str">
        <f aca="false">IF(H149="","",IF(H149&gt;0,I149/H149,""))</f>
        <v/>
      </c>
      <c r="K149" s="20"/>
      <c r="L149" s="20"/>
    </row>
    <row r="150" customFormat="false" ht="15" hidden="false" customHeight="true" outlineLevel="0" collapsed="false">
      <c r="A150" s="20"/>
      <c r="B150" s="20"/>
      <c r="C150" s="20"/>
      <c r="D150" s="20"/>
      <c r="E150" s="18"/>
      <c r="F150" s="19"/>
      <c r="G150" s="13"/>
      <c r="H150" s="13"/>
      <c r="I150" s="19" t="str">
        <f aca="false">IF(H150="","",H150-F150)</f>
        <v/>
      </c>
      <c r="J150" s="30" t="str">
        <f aca="false">IF(H150="","",IF(H150&gt;0,I150/H150,""))</f>
        <v/>
      </c>
      <c r="K150" s="20"/>
      <c r="L150" s="20"/>
    </row>
    <row r="151" customFormat="false" ht="15" hidden="false" customHeight="true" outlineLevel="0" collapsed="false">
      <c r="A151" s="20"/>
      <c r="B151" s="20"/>
      <c r="C151" s="20"/>
      <c r="D151" s="20"/>
      <c r="E151" s="18"/>
      <c r="F151" s="19"/>
      <c r="G151" s="13"/>
      <c r="H151" s="13"/>
      <c r="I151" s="19" t="str">
        <f aca="false">IF(H151="","",H151-F151)</f>
        <v/>
      </c>
      <c r="J151" s="30" t="str">
        <f aca="false">IF(H151="","",IF(H151&gt;0,I151/H151,""))</f>
        <v/>
      </c>
      <c r="K151" s="20"/>
      <c r="L151" s="20"/>
    </row>
    <row r="152" customFormat="false" ht="15" hidden="false" customHeight="true" outlineLevel="0" collapsed="false">
      <c r="A152" s="20"/>
      <c r="B152" s="20"/>
      <c r="C152" s="20"/>
      <c r="D152" s="20"/>
      <c r="E152" s="18"/>
      <c r="F152" s="19"/>
      <c r="G152" s="13"/>
      <c r="H152" s="13"/>
      <c r="I152" s="19" t="str">
        <f aca="false">IF(H152="","",H152-F152)</f>
        <v/>
      </c>
      <c r="J152" s="30" t="str">
        <f aca="false">IF(H152="","",IF(H152&gt;0,I152/H152,""))</f>
        <v/>
      </c>
      <c r="K152" s="20"/>
      <c r="L152" s="20"/>
    </row>
    <row r="153" customFormat="false" ht="15" hidden="false" customHeight="true" outlineLevel="0" collapsed="false">
      <c r="A153" s="20"/>
      <c r="B153" s="20"/>
      <c r="C153" s="20"/>
      <c r="D153" s="20"/>
      <c r="E153" s="18"/>
      <c r="F153" s="19"/>
      <c r="G153" s="13"/>
      <c r="H153" s="13"/>
      <c r="I153" s="19" t="str">
        <f aca="false">IF(H153="","",H153-F153)</f>
        <v/>
      </c>
      <c r="J153" s="30" t="str">
        <f aca="false">IF(H153="","",IF(H153&gt;0,I153/H153,""))</f>
        <v/>
      </c>
      <c r="K153" s="20"/>
      <c r="L153" s="20"/>
    </row>
    <row r="154" customFormat="false" ht="15" hidden="false" customHeight="true" outlineLevel="0" collapsed="false">
      <c r="A154" s="20"/>
      <c r="B154" s="20"/>
      <c r="C154" s="20"/>
      <c r="D154" s="20"/>
      <c r="E154" s="18"/>
      <c r="F154" s="19"/>
      <c r="G154" s="13"/>
      <c r="H154" s="13"/>
      <c r="I154" s="19" t="str">
        <f aca="false">IF(H154="","",H154-F154)</f>
        <v/>
      </c>
      <c r="J154" s="30" t="str">
        <f aca="false">IF(H154="","",IF(H154&gt;0,I154/H154,""))</f>
        <v/>
      </c>
      <c r="K154" s="20"/>
      <c r="L154" s="20"/>
    </row>
  </sheetData>
  <mergeCells count="2">
    <mergeCell ref="A1:L1"/>
    <mergeCell ref="A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2026-03-08T03:44:03Z</dcterms:created>
  <dc:creator>openpyxl</dc:creator>
  <dc:description/>
  <dc:language>en-US</dc:language>
  <cp:lastModifiedBy/>
  <dcterms:modified xsi:type="dcterms:W3CDTF">2026-03-08T08:00:54Z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